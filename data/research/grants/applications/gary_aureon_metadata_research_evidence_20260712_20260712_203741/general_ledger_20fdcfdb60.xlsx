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>
    <definedName name="_xlnm._FilterDatabase" localSheetId="0" hidden="1">'General Ledger'!$A$3:$G$113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3" fillId="3" borderId="0" pivotButton="0" quotePrefix="0" xfId="0"/>
    <xf numFmtId="4" fontId="3" fillId="0" borderId="0" pivotButton="0" quotePrefix="0" xfId="0"/>
    <xf numFmtId="0" fontId="0" fillId="4" borderId="1" pivotButton="0" quotePrefix="0" xfId="0"/>
    <xf numFmtId="0" fontId="4" fillId="4" borderId="1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Client — General Ledger</t>
        </is>
      </c>
    </row>
    <row r="3">
      <c r="A3" s="2" t="inlineStr">
        <is>
          <t>Date</t>
        </is>
      </c>
      <c r="B3" s="2" t="inlineStr">
        <is>
          <t>Account</t>
        </is>
      </c>
      <c r="C3" s="2" t="inlineStr">
        <is>
          <t>Description</t>
        </is>
      </c>
      <c r="D3" s="2" t="inlineStr">
        <is>
          <t>Reference</t>
        </is>
      </c>
      <c r="E3" s="2" t="inlineStr">
        <is>
          <t>Debit</t>
        </is>
      </c>
      <c r="F3" s="2" t="inlineStr">
        <is>
          <t>Credit</t>
        </is>
      </c>
      <c r="G3" s="2" t="inlineStr">
        <is>
          <t>Balance</t>
        </is>
      </c>
    </row>
    <row r="4">
      <c r="A4" s="3" t="inlineStr">
        <is>
          <t>28/02/2026</t>
        </is>
      </c>
      <c r="B4" s="3" t="inlineStr"/>
      <c r="C4" s="3" t="inlineStr">
        <is>
          <t>Gary leckey Sumup</t>
        </is>
      </c>
      <c r="D4" s="3" t="inlineStr"/>
      <c r="E4" s="4" t="n"/>
      <c r="F4" s="4" t="n"/>
      <c r="G4" s="4">
        <f>E4-F4</f>
        <v/>
      </c>
    </row>
    <row r="5">
      <c r="A5" t="inlineStr">
        <is>
          <t>28/02/2026</t>
        </is>
      </c>
      <c r="B5" t="inlineStr"/>
      <c r="C5" t="inlineStr">
        <is>
          <t>Ravenous P</t>
        </is>
      </c>
      <c r="D5" t="inlineStr"/>
      <c r="E5" s="5" t="n"/>
      <c r="F5" s="5" t="n"/>
      <c r="G5" s="5">
        <f>G4+E5-F5</f>
        <v/>
      </c>
    </row>
    <row r="6">
      <c r="A6" s="3" t="inlineStr">
        <is>
          <t>28/02/2026</t>
        </is>
      </c>
      <c r="B6" s="3" t="inlineStr"/>
      <c r="C6" s="3" t="inlineStr">
        <is>
          <t>Fin: GOOGLE *Google Play Ap,Belgra,LONDO</t>
        </is>
      </c>
      <c r="D6" s="3" t="inlineStr"/>
      <c r="E6" s="4" t="n"/>
      <c r="F6" s="4" t="n"/>
      <c r="G6" s="4">
        <f>G5+E6-F6</f>
        <v/>
      </c>
    </row>
    <row r="7">
      <c r="A7" t="inlineStr">
        <is>
          <t>28/02/2026</t>
        </is>
      </c>
      <c r="B7" t="inlineStr"/>
      <c r="C7" t="inlineStr">
        <is>
          <t>Gary leckey Sumup</t>
        </is>
      </c>
      <c r="D7" t="inlineStr"/>
      <c r="E7" s="5" t="n"/>
      <c r="F7" s="5" t="n"/>
      <c r="G7" s="5">
        <f>G6+E7-F7</f>
        <v/>
      </c>
    </row>
    <row r="8">
      <c r="A8" s="3" t="inlineStr">
        <is>
          <t>28/02/2026</t>
        </is>
      </c>
      <c r="B8" s="3" t="inlineStr"/>
      <c r="C8" s="3" t="inlineStr">
        <is>
          <t>Geraldine cromie r</t>
        </is>
      </c>
      <c r="D8" s="3" t="inlineStr"/>
      <c r="E8" s="4" t="n"/>
      <c r="F8" s="4" t="n"/>
      <c r="G8" s="4">
        <f>G7+E8-F8</f>
        <v/>
      </c>
    </row>
    <row r="9">
      <c r="A9" t="inlineStr">
        <is>
          <t>28/02/2026</t>
        </is>
      </c>
      <c r="B9" t="inlineStr"/>
      <c r="C9" t="inlineStr">
        <is>
          <t>Ravenous P</t>
        </is>
      </c>
      <c r="D9" t="inlineStr"/>
      <c r="E9" s="5" t="n"/>
      <c r="F9" s="5" t="n"/>
      <c r="G9" s="5">
        <f>G8+E9-F9</f>
        <v/>
      </c>
    </row>
    <row r="10">
      <c r="A10" s="3" t="inlineStr">
        <is>
          <t>28/02/2026</t>
        </is>
      </c>
      <c r="B10" s="3" t="inlineStr"/>
      <c r="C10" s="3" t="inlineStr">
        <is>
          <t>Monthly subscription</t>
        </is>
      </c>
      <c r="D10" s="3" t="inlineStr"/>
      <c r="E10" s="4" t="n"/>
      <c r="F10" s="4" t="n"/>
      <c r="G10" s="4">
        <f>G9+E10-F10</f>
        <v/>
      </c>
    </row>
    <row r="11">
      <c r="A11" t="inlineStr">
        <is>
          <t>27/02/2026</t>
        </is>
      </c>
      <c r="B11" t="inlineStr"/>
      <c r="C11" t="inlineStr">
        <is>
          <t>Ravenous P</t>
        </is>
      </c>
      <c r="D11" t="inlineStr"/>
      <c r="E11" s="5" t="n"/>
      <c r="F11" s="5" t="n"/>
      <c r="G11" s="5">
        <f>G10+E11-F11</f>
        <v/>
      </c>
    </row>
    <row r="12">
      <c r="A12" s="3" t="inlineStr">
        <is>
          <t>27/02/2026</t>
        </is>
      </c>
      <c r="B12" s="3" t="inlineStr"/>
      <c r="C12" s="3" t="inlineStr">
        <is>
          <t>Fin: EUROSPAR SPRINGFIELD R,111-1,BELFAS</t>
        </is>
      </c>
      <c r="D12" s="3" t="inlineStr"/>
      <c r="E12" s="4" t="n"/>
      <c r="F12" s="4" t="n"/>
      <c r="G12" s="4">
        <f>G11+E12-F12</f>
        <v/>
      </c>
    </row>
    <row r="13">
      <c r="A13" t="inlineStr">
        <is>
          <t>27/02/2026</t>
        </is>
      </c>
      <c r="B13" t="inlineStr"/>
      <c r="C13" t="inlineStr">
        <is>
          <t>Gary leckey Sumup</t>
        </is>
      </c>
      <c r="D13" t="inlineStr"/>
      <c r="E13" s="5" t="n"/>
      <c r="F13" s="5" t="n"/>
      <c r="G13" s="5">
        <f>G12+E13-F13</f>
        <v/>
      </c>
    </row>
    <row r="14">
      <c r="A14" s="3" t="inlineStr">
        <is>
          <t>27/02/2026</t>
        </is>
      </c>
      <c r="B14" s="3" t="inlineStr"/>
      <c r="C14" s="3" t="inlineStr">
        <is>
          <t>Ravenous P</t>
        </is>
      </c>
      <c r="D14" s="3" t="inlineStr"/>
      <c r="E14" s="4" t="n"/>
      <c r="F14" s="4" t="n"/>
      <c r="G14" s="4">
        <f>G13+E14-F14</f>
        <v/>
      </c>
    </row>
    <row r="15">
      <c r="A15" t="inlineStr">
        <is>
          <t>26/02/2026</t>
        </is>
      </c>
      <c r="B15" t="inlineStr"/>
      <c r="C15" t="inlineStr">
        <is>
          <t>Gary leckey Sumup</t>
        </is>
      </c>
      <c r="D15" t="inlineStr"/>
      <c r="E15" s="5" t="n"/>
      <c r="F15" s="5" t="n"/>
      <c r="G15" s="5">
        <f>G14+E15-F15</f>
        <v/>
      </c>
    </row>
    <row r="16">
      <c r="A16" s="3" t="inlineStr">
        <is>
          <t>26/02/2026</t>
        </is>
      </c>
      <c r="B16" s="3" t="inlineStr"/>
      <c r="C16" s="3" t="inlineStr">
        <is>
          <t>Ravenous P</t>
        </is>
      </c>
      <c r="D16" s="3" t="inlineStr"/>
      <c r="E16" s="4" t="n"/>
      <c r="F16" s="4" t="n"/>
      <c r="G16" s="4">
        <f>G15+E16-F16</f>
        <v/>
      </c>
    </row>
    <row r="17">
      <c r="A17" t="inlineStr">
        <is>
          <t>26/02/2026</t>
        </is>
      </c>
      <c r="B17" t="inlineStr"/>
      <c r="C17" t="inlineStr">
        <is>
          <t>Fin: CENTRA YORK ROAD,30-42 York ,BELFAS</t>
        </is>
      </c>
      <c r="D17" t="inlineStr"/>
      <c r="E17" s="5" t="n"/>
      <c r="F17" s="5" t="n"/>
      <c r="G17" s="5">
        <f>G16+E17-F17</f>
        <v/>
      </c>
    </row>
    <row r="18">
      <c r="A18" s="3" t="inlineStr">
        <is>
          <t>25/02/2026</t>
        </is>
      </c>
      <c r="B18" s="3" t="inlineStr"/>
      <c r="C18" s="3" t="inlineStr">
        <is>
          <t>Ravenous P</t>
        </is>
      </c>
      <c r="D18" s="3" t="inlineStr"/>
      <c r="E18" s="4" t="n"/>
      <c r="F18" s="4" t="n"/>
      <c r="G18" s="4">
        <f>G17+E18-F18</f>
        <v/>
      </c>
    </row>
    <row r="19">
      <c r="A19" t="inlineStr">
        <is>
          <t>24/02/2026</t>
        </is>
      </c>
      <c r="B19" t="inlineStr"/>
      <c r="C19" t="inlineStr">
        <is>
          <t>Fin: MUSGRAVE MARKET PLACE,1-15 D,BELFAS</t>
        </is>
      </c>
      <c r="D19" t="inlineStr"/>
      <c r="E19" s="5" t="n"/>
      <c r="F19" s="5" t="n"/>
      <c r="G19" s="5">
        <f>G18+E19-F19</f>
        <v/>
      </c>
    </row>
    <row r="20">
      <c r="A20" s="3" t="inlineStr">
        <is>
          <t>24/02/2026</t>
        </is>
      </c>
      <c r="B20" s="3" t="inlineStr"/>
      <c r="C20" s="3" t="inlineStr">
        <is>
          <t>Gary leckey Sumup</t>
        </is>
      </c>
      <c r="D20" s="3" t="inlineStr"/>
      <c r="E20" s="4" t="n"/>
      <c r="F20" s="4" t="n"/>
      <c r="G20" s="4">
        <f>G19+E20-F20</f>
        <v/>
      </c>
    </row>
    <row r="21">
      <c r="A21" t="inlineStr">
        <is>
          <t>24/02/2026</t>
        </is>
      </c>
      <c r="B21" t="inlineStr"/>
      <c r="C21" t="inlineStr">
        <is>
          <t>Ravenous P</t>
        </is>
      </c>
      <c r="D21" t="inlineStr"/>
      <c r="E21" s="5" t="n"/>
      <c r="F21" s="5" t="n"/>
      <c r="G21" s="5">
        <f>G20+E21-F21</f>
        <v/>
      </c>
    </row>
    <row r="22">
      <c r="A22" s="3" t="inlineStr">
        <is>
          <t>23/02/2026</t>
        </is>
      </c>
      <c r="B22" s="3" t="inlineStr"/>
      <c r="C22" s="3" t="inlineStr">
        <is>
          <t>Ravenous P</t>
        </is>
      </c>
      <c r="D22" s="3" t="inlineStr"/>
      <c r="E22" s="4" t="n"/>
      <c r="F22" s="4" t="n"/>
      <c r="G22" s="4">
        <f>G21+E22-F22</f>
        <v/>
      </c>
    </row>
    <row r="23">
      <c r="A23" t="inlineStr">
        <is>
          <t>21/02/2026</t>
        </is>
      </c>
      <c r="B23" t="inlineStr"/>
      <c r="C23" t="inlineStr">
        <is>
          <t>Gary leckey Sumup</t>
        </is>
      </c>
      <c r="D23" t="inlineStr"/>
      <c r="E23" s="5" t="n"/>
      <c r="F23" s="5" t="n"/>
      <c r="G23" s="5">
        <f>G22+E23-F23</f>
        <v/>
      </c>
    </row>
    <row r="24">
      <c r="A24" s="3" t="inlineStr">
        <is>
          <t>21/02/2026</t>
        </is>
      </c>
      <c r="B24" s="3" t="inlineStr"/>
      <c r="C24" s="3" t="inlineStr">
        <is>
          <t>Ravenous P</t>
        </is>
      </c>
      <c r="D24" s="3" t="inlineStr"/>
      <c r="E24" s="4" t="n"/>
      <c r="F24" s="4" t="n"/>
      <c r="G24" s="4">
        <f>G23+E24-F24</f>
        <v/>
      </c>
    </row>
    <row r="25">
      <c r="A25" t="inlineStr">
        <is>
          <t>20/02/2026</t>
        </is>
      </c>
      <c r="B25" t="inlineStr"/>
      <c r="C25" t="inlineStr">
        <is>
          <t>Gary leckey Sumup</t>
        </is>
      </c>
      <c r="D25" t="inlineStr"/>
      <c r="E25" s="5" t="n"/>
      <c r="F25" s="5" t="n"/>
      <c r="G25" s="5">
        <f>G24+E25-F25</f>
        <v/>
      </c>
    </row>
    <row r="26">
      <c r="A26" s="3" t="inlineStr">
        <is>
          <t>20/02/2026</t>
        </is>
      </c>
      <c r="B26" s="3" t="inlineStr"/>
      <c r="C26" s="3" t="inlineStr">
        <is>
          <t>Geraldine cromie r</t>
        </is>
      </c>
      <c r="D26" s="3" t="inlineStr"/>
      <c r="E26" s="4" t="n"/>
      <c r="F26" s="4" t="n"/>
      <c r="G26" s="4">
        <f>G25+E26-F26</f>
        <v/>
      </c>
    </row>
    <row r="27">
      <c r="A27" t="inlineStr">
        <is>
          <t>20/02/2026</t>
        </is>
      </c>
      <c r="B27" t="inlineStr"/>
      <c r="C27" t="inlineStr">
        <is>
          <t>Ravenous Ravenous</t>
        </is>
      </c>
      <c r="D27" t="inlineStr"/>
      <c r="E27" s="5" t="n"/>
      <c r="F27" s="5" t="n"/>
      <c r="G27" s="5">
        <f>G26+E27-F27</f>
        <v/>
      </c>
    </row>
    <row r="28">
      <c r="A28" s="3" t="inlineStr">
        <is>
          <t>20/02/2026</t>
        </is>
      </c>
      <c r="B28" s="3" t="inlineStr"/>
      <c r="C28" s="3" t="inlineStr">
        <is>
          <t>Ravenous P</t>
        </is>
      </c>
      <c r="D28" s="3" t="inlineStr"/>
      <c r="E28" s="4" t="n"/>
      <c r="F28" s="4" t="n"/>
      <c r="G28" s="4">
        <f>G27+E28-F28</f>
        <v/>
      </c>
    </row>
    <row r="29">
      <c r="A29" t="inlineStr">
        <is>
          <t>20/02/2026</t>
        </is>
      </c>
      <c r="B29" t="inlineStr"/>
      <c r="C29" t="inlineStr">
        <is>
          <t>Ravenous P</t>
        </is>
      </c>
      <c r="D29" t="inlineStr"/>
      <c r="E29" s="5" t="n"/>
      <c r="F29" s="5" t="n"/>
      <c r="G29" s="5">
        <f>G28+E29-F29</f>
        <v/>
      </c>
    </row>
    <row r="30">
      <c r="A30" s="3" t="inlineStr">
        <is>
          <t>20/02/2026</t>
        </is>
      </c>
      <c r="B30" s="3" t="inlineStr"/>
      <c r="C30" s="3" t="inlineStr">
        <is>
          <t>Gary leckey Sumup</t>
        </is>
      </c>
      <c r="D30" s="3" t="inlineStr"/>
      <c r="E30" s="4" t="n"/>
      <c r="F30" s="4" t="n"/>
      <c r="G30" s="4">
        <f>G29+E30-F30</f>
        <v/>
      </c>
    </row>
    <row r="31">
      <c r="A31" t="inlineStr">
        <is>
          <t>18/02/2026</t>
        </is>
      </c>
      <c r="B31" t="inlineStr"/>
      <c r="C31" t="inlineStr">
        <is>
          <t>Gary leckey Sumup</t>
        </is>
      </c>
      <c r="D31" t="inlineStr"/>
      <c r="E31" s="5" t="n"/>
      <c r="F31" s="5" t="n"/>
      <c r="G31" s="5">
        <f>G30+E31-F31</f>
        <v/>
      </c>
    </row>
    <row r="32">
      <c r="A32" s="3" t="inlineStr">
        <is>
          <t>18/02/2026</t>
        </is>
      </c>
      <c r="B32" s="3" t="inlineStr"/>
      <c r="C32" s="3" t="inlineStr">
        <is>
          <t>Gary leckey Sumup</t>
        </is>
      </c>
      <c r="D32" s="3" t="inlineStr"/>
      <c r="E32" s="4" t="n"/>
      <c r="F32" s="4" t="n"/>
      <c r="G32" s="4">
        <f>G31+E32-F32</f>
        <v/>
      </c>
    </row>
    <row r="33">
      <c r="A33" t="inlineStr">
        <is>
          <t>18/02/2026</t>
        </is>
      </c>
      <c r="B33" t="inlineStr"/>
      <c r="C33" t="inlineStr">
        <is>
          <t>Amanda Toner garyo</t>
        </is>
      </c>
      <c r="D33" t="inlineStr"/>
      <c r="E33" s="5" t="n"/>
      <c r="F33" s="5" t="n"/>
      <c r="G33" s="5">
        <f>G32+E33-F33</f>
        <v/>
      </c>
    </row>
    <row r="34">
      <c r="A34" s="3" t="inlineStr">
        <is>
          <t>18/02/2026</t>
        </is>
      </c>
      <c r="B34" s="3" t="inlineStr"/>
      <c r="C34" s="3" t="inlineStr">
        <is>
          <t>Eugene mcelkerney wage</t>
        </is>
      </c>
      <c r="D34" s="3" t="inlineStr"/>
      <c r="E34" s="4" t="n"/>
      <c r="F34" s="4" t="n"/>
      <c r="G34" s="4">
        <f>G33+E34-F34</f>
        <v/>
      </c>
    </row>
    <row r="35">
      <c r="A35" t="inlineStr">
        <is>
          <t>18/02/2026</t>
        </is>
      </c>
      <c r="B35" t="inlineStr"/>
      <c r="C35" t="inlineStr">
        <is>
          <t>GROVE BUILDERS LTD GROVE BUILDERS LTD</t>
        </is>
      </c>
      <c r="D35" t="inlineStr"/>
      <c r="E35" s="5" t="n"/>
      <c r="F35" s="5" t="n"/>
      <c r="G35" s="5">
        <f>G34+E35-F35</f>
        <v/>
      </c>
    </row>
    <row r="36">
      <c r="A36" s="3" t="inlineStr">
        <is>
          <t>10/02/2026</t>
        </is>
      </c>
      <c r="B36" s="3" t="inlineStr"/>
      <c r="C36" s="3" t="inlineStr">
        <is>
          <t>**** Cashback ****</t>
        </is>
      </c>
      <c r="D36" s="3" t="inlineStr"/>
      <c r="E36" s="4" t="n"/>
      <c r="F36" s="4" t="n"/>
      <c r="G36" s="4">
        <f>G35+E36-F36</f>
        <v/>
      </c>
    </row>
    <row r="37">
      <c r="A37" t="inlineStr">
        <is>
          <t>04/02/2026</t>
        </is>
      </c>
      <c r="B37" t="inlineStr"/>
      <c r="C37" t="inlineStr">
        <is>
          <t>Gary leckey Sumup</t>
        </is>
      </c>
      <c r="D37" t="inlineStr"/>
      <c r="E37" s="5" t="n"/>
      <c r="F37" s="5" t="n"/>
      <c r="G37" s="5">
        <f>G36+E37-F37</f>
        <v/>
      </c>
    </row>
    <row r="38">
      <c r="A38" s="3" t="inlineStr">
        <is>
          <t>04/02/2026</t>
        </is>
      </c>
      <c r="B38" s="3" t="inlineStr"/>
      <c r="C38" s="3" t="inlineStr">
        <is>
          <t>Granite properties 1733 gary leckey</t>
        </is>
      </c>
      <c r="D38" s="3" t="inlineStr"/>
      <c r="E38" s="4" t="n"/>
      <c r="F38" s="4" t="n"/>
      <c r="G38" s="4">
        <f>G37+E38-F38</f>
        <v/>
      </c>
    </row>
    <row r="39">
      <c r="A39" t="inlineStr">
        <is>
          <t>04/02/2026</t>
        </is>
      </c>
      <c r="B39" t="inlineStr"/>
      <c r="C39" t="inlineStr">
        <is>
          <t>GROVE BUILDERS LTD GROVE BUILDERS LTD</t>
        </is>
      </c>
      <c r="D39" t="inlineStr"/>
      <c r="E39" s="5" t="n"/>
      <c r="F39" s="5" t="n"/>
      <c r="G39" s="5">
        <f>G38+E39-F39</f>
        <v/>
      </c>
    </row>
    <row r="40">
      <c r="A40" s="3" t="inlineStr">
        <is>
          <t>26/01/2026</t>
        </is>
      </c>
      <c r="B40" s="3" t="inlineStr"/>
      <c r="C40" s="3" t="inlineStr">
        <is>
          <t>Fin: GOOGLE *Google Play Ap,Belgra,LONDO</t>
        </is>
      </c>
      <c r="D40" s="3" t="inlineStr"/>
      <c r="E40" s="4" t="n"/>
      <c r="F40" s="4" t="n"/>
      <c r="G40" s="4">
        <f>G39+E40-F40</f>
        <v/>
      </c>
    </row>
    <row r="41">
      <c r="A41" t="inlineStr">
        <is>
          <t>25/01/2026</t>
        </is>
      </c>
      <c r="B41" t="inlineStr"/>
      <c r="C41" t="inlineStr">
        <is>
          <t>Gary leckey Sumup</t>
        </is>
      </c>
      <c r="D41" t="inlineStr"/>
      <c r="E41" s="5" t="n"/>
      <c r="F41" s="5" t="n"/>
      <c r="G41" s="5">
        <f>G40+E41-F41</f>
        <v/>
      </c>
    </row>
    <row r="42">
      <c r="A42" s="3" t="inlineStr">
        <is>
          <t>24/01/2026</t>
        </is>
      </c>
      <c r="B42" s="3" t="inlineStr"/>
      <c r="C42" s="3" t="inlineStr">
        <is>
          <t>R&amp;A consulting and brokerage services Se</t>
        </is>
      </c>
      <c r="D42" s="3" t="inlineStr"/>
      <c r="E42" s="4" t="n"/>
      <c r="F42" s="4" t="n"/>
      <c r="G42" s="4">
        <f>G41+E42-F42</f>
        <v/>
      </c>
    </row>
    <row r="43">
      <c r="A43" t="inlineStr">
        <is>
          <t>24/01/2026</t>
        </is>
      </c>
      <c r="B43" t="inlineStr"/>
      <c r="C43" t="inlineStr">
        <is>
          <t>Fin: CAVEHILL RETAIL LTD,325 CAVE,BELFAS</t>
        </is>
      </c>
      <c r="D43" t="inlineStr"/>
      <c r="E43" s="5" t="n"/>
      <c r="F43" s="5" t="n"/>
      <c r="G43" s="5">
        <f>G42+E43-F43</f>
        <v/>
      </c>
    </row>
    <row r="44">
      <c r="A44" s="3" t="inlineStr">
        <is>
          <t>24/01/2026</t>
        </is>
      </c>
      <c r="B44" s="3" t="inlineStr"/>
      <c r="C44" s="3" t="inlineStr">
        <is>
          <t>Fin: Chill,311 Cavehill Road,Belfast,GBR</t>
        </is>
      </c>
      <c r="D44" s="3" t="inlineStr"/>
      <c r="E44" s="4" t="n"/>
      <c r="F44" s="4" t="n"/>
      <c r="G44" s="4">
        <f>G43+E44-F44</f>
        <v/>
      </c>
    </row>
    <row r="45">
      <c r="A45" t="inlineStr">
        <is>
          <t>24/01/2026</t>
        </is>
      </c>
      <c r="B45" t="inlineStr"/>
      <c r="C45" t="inlineStr">
        <is>
          <t>Monthly subscription</t>
        </is>
      </c>
      <c r="D45" t="inlineStr"/>
      <c r="E45" s="5" t="n"/>
      <c r="F45" s="5" t="n"/>
      <c r="G45" s="5">
        <f>G44+E45-F45</f>
        <v/>
      </c>
    </row>
    <row r="46">
      <c r="A46" s="3" t="inlineStr">
        <is>
          <t>23/01/2026</t>
        </is>
      </c>
      <c r="B46" s="3" t="inlineStr"/>
      <c r="C46" s="3" t="inlineStr">
        <is>
          <t>R&amp;A consulting and brokerage services Se</t>
        </is>
      </c>
      <c r="D46" s="3" t="inlineStr"/>
      <c r="E46" s="4" t="n"/>
      <c r="F46" s="4" t="n"/>
      <c r="G46" s="4">
        <f>G45+E46-F46</f>
        <v/>
      </c>
    </row>
    <row r="47">
      <c r="A47" t="inlineStr">
        <is>
          <t>21/01/2026</t>
        </is>
      </c>
      <c r="B47" t="inlineStr"/>
      <c r="C47" t="inlineStr">
        <is>
          <t>Gary leckey Sumup</t>
        </is>
      </c>
      <c r="D47" t="inlineStr"/>
      <c r="E47" s="5" t="n"/>
      <c r="F47" s="5" t="n"/>
      <c r="G47" s="5">
        <f>G46+E47-F47</f>
        <v/>
      </c>
    </row>
    <row r="48">
      <c r="A48" s="3" t="inlineStr">
        <is>
          <t>21/01/2026</t>
        </is>
      </c>
      <c r="B48" s="3" t="inlineStr"/>
      <c r="C48" s="3" t="inlineStr">
        <is>
          <t>gary leckey gary</t>
        </is>
      </c>
      <c r="D48" s="3" t="inlineStr"/>
      <c r="E48" s="4" t="n"/>
      <c r="F48" s="4" t="n"/>
      <c r="G48" s="4">
        <f>G47+E48-F48</f>
        <v/>
      </c>
    </row>
    <row r="49">
      <c r="A49" t="inlineStr">
        <is>
          <t>21/01/2026</t>
        </is>
      </c>
      <c r="B49" t="inlineStr"/>
      <c r="C49" t="inlineStr">
        <is>
          <t>gary leckey gary</t>
        </is>
      </c>
      <c r="D49" t="inlineStr"/>
      <c r="E49" s="5" t="n"/>
      <c r="F49" s="5" t="n"/>
      <c r="G49" s="5">
        <f>G48+E49-F49</f>
        <v/>
      </c>
    </row>
    <row r="50">
      <c r="A50" s="3" t="inlineStr">
        <is>
          <t>21/01/2026</t>
        </is>
      </c>
      <c r="B50" s="3" t="inlineStr"/>
      <c r="C50" s="3" t="inlineStr">
        <is>
          <t>Gary leckey Sumup</t>
        </is>
      </c>
      <c r="D50" s="3" t="inlineStr"/>
      <c r="E50" s="4" t="n"/>
      <c r="F50" s="4" t="n"/>
      <c r="G50" s="4">
        <f>G49+E50-F50</f>
        <v/>
      </c>
    </row>
    <row r="51">
      <c r="A51" t="inlineStr">
        <is>
          <t>21/01/2026</t>
        </is>
      </c>
      <c r="B51" t="inlineStr"/>
      <c r="C51" t="inlineStr">
        <is>
          <t>Steven mcclean Office</t>
        </is>
      </c>
      <c r="D51" t="inlineStr"/>
      <c r="E51" s="5" t="n"/>
      <c r="F51" s="5" t="n"/>
      <c r="G51" s="5">
        <f>G50+E51-F51</f>
        <v/>
      </c>
    </row>
    <row r="52">
      <c r="A52" s="3" t="inlineStr">
        <is>
          <t>21/01/2026</t>
        </is>
      </c>
      <c r="B52" s="3" t="inlineStr"/>
      <c r="C52" s="3" t="inlineStr">
        <is>
          <t>GROVE BUILDERS LTD GROVE BUILDERS LTD</t>
        </is>
      </c>
      <c r="D52" s="3" t="inlineStr"/>
      <c r="E52" s="4" t="n"/>
      <c r="F52" s="4" t="n"/>
      <c r="G52" s="4">
        <f>G51+E52-F52</f>
        <v/>
      </c>
    </row>
    <row r="53">
      <c r="A53" t="inlineStr">
        <is>
          <t>17/01/2026</t>
        </is>
      </c>
      <c r="B53" t="inlineStr"/>
      <c r="C53" t="inlineStr">
        <is>
          <t>Fin: E07047900000000,BLACKSTAFF E,BELFAS</t>
        </is>
      </c>
      <c r="D53" t="inlineStr"/>
      <c r="E53" s="5" t="n"/>
      <c r="F53" s="5" t="n"/>
      <c r="G53" s="5">
        <f>G52+E53-F53</f>
        <v/>
      </c>
    </row>
    <row r="54">
      <c r="A54" s="3" t="inlineStr">
        <is>
          <t>16/01/2026</t>
        </is>
      </c>
      <c r="B54" s="3" t="inlineStr"/>
      <c r="C54" s="3" t="inlineStr">
        <is>
          <t>R&amp;A consulting and brokerage services Se</t>
        </is>
      </c>
      <c r="D54" s="3" t="inlineStr"/>
      <c r="E54" s="4" t="n"/>
      <c r="F54" s="4" t="n"/>
      <c r="G54" s="4">
        <f>G53+E54-F54</f>
        <v/>
      </c>
    </row>
    <row r="55">
      <c r="A55" t="inlineStr">
        <is>
          <t>12/01/2026</t>
        </is>
      </c>
      <c r="B55" t="inlineStr"/>
      <c r="C55" t="inlineStr">
        <is>
          <t>Gary leckey Sumup</t>
        </is>
      </c>
      <c r="D55" t="inlineStr"/>
      <c r="E55" s="5" t="n"/>
      <c r="F55" s="5" t="n"/>
      <c r="G55" s="5">
        <f>G54+E55-F55</f>
        <v/>
      </c>
    </row>
    <row r="56">
      <c r="A56" s="3" t="inlineStr">
        <is>
          <t>07/01/2026</t>
        </is>
      </c>
      <c r="B56" s="3" t="inlineStr"/>
      <c r="C56" s="3" t="inlineStr">
        <is>
          <t>Gary leckey Sumup</t>
        </is>
      </c>
      <c r="D56" s="3" t="inlineStr"/>
      <c r="E56" s="4" t="n"/>
      <c r="F56" s="4" t="n"/>
      <c r="G56" s="4">
        <f>G55+E56-F56</f>
        <v/>
      </c>
    </row>
    <row r="57">
      <c r="A57" t="inlineStr">
        <is>
          <t>07/01/2026</t>
        </is>
      </c>
      <c r="B57" t="inlineStr"/>
      <c r="C57" t="inlineStr">
        <is>
          <t>tina brown tina</t>
        </is>
      </c>
      <c r="D57" t="inlineStr"/>
      <c r="E57" s="5" t="n"/>
      <c r="F57" s="5" t="n"/>
      <c r="G57" s="5">
        <f>G56+E57-F57</f>
        <v/>
      </c>
    </row>
    <row r="58">
      <c r="A58" s="3" t="inlineStr">
        <is>
          <t>07/01/2026</t>
        </is>
      </c>
      <c r="B58" s="3" t="inlineStr"/>
      <c r="C58" s="3" t="inlineStr">
        <is>
          <t>GROVE BUILDERS LTD GROVE BUILDERS LTD</t>
        </is>
      </c>
      <c r="D58" s="3" t="inlineStr"/>
      <c r="E58" s="4" t="n"/>
      <c r="F58" s="4" t="n"/>
      <c r="G58" s="4">
        <f>G57+E58-F58</f>
        <v/>
      </c>
    </row>
    <row r="59">
      <c r="A59" t="inlineStr">
        <is>
          <t>07/01/2026</t>
        </is>
      </c>
      <c r="B59" t="inlineStr"/>
      <c r="C59" t="inlineStr">
        <is>
          <t>**** Cashback ****</t>
        </is>
      </c>
      <c r="D59" t="inlineStr"/>
      <c r="E59" s="5" t="n"/>
      <c r="F59" s="5" t="n"/>
      <c r="G59" s="5">
        <f>G58+E59-F59</f>
        <v/>
      </c>
    </row>
    <row r="60">
      <c r="A60" s="3" t="inlineStr">
        <is>
          <t>27/03/2026</t>
        </is>
      </c>
      <c r="B60" s="3" t="inlineStr"/>
      <c r="C60" s="3" t="inlineStr">
        <is>
          <t>Geraldine cromie r</t>
        </is>
      </c>
      <c r="D60" s="3" t="inlineStr"/>
      <c r="E60" s="4" t="n"/>
      <c r="F60" s="4" t="n"/>
      <c r="G60" s="4">
        <f>G59+E60-F60</f>
        <v/>
      </c>
    </row>
    <row r="61">
      <c r="A61" t="inlineStr">
        <is>
          <t>27/03/2026</t>
        </is>
      </c>
      <c r="B61" t="inlineStr"/>
      <c r="C61" t="inlineStr">
        <is>
          <t>Ravenous Ravenous</t>
        </is>
      </c>
      <c r="D61" t="inlineStr"/>
      <c r="E61" s="5" t="n"/>
      <c r="F61" s="5" t="n"/>
      <c r="G61" s="5">
        <f>G60+E61-F61</f>
        <v/>
      </c>
    </row>
    <row r="62">
      <c r="A62" s="3" t="inlineStr">
        <is>
          <t>27/03/2026</t>
        </is>
      </c>
      <c r="B62" s="3" t="inlineStr"/>
      <c r="C62" s="3" t="inlineStr">
        <is>
          <t>R&amp;A consulting and brokerage services Se</t>
        </is>
      </c>
      <c r="D62" s="3" t="inlineStr"/>
      <c r="E62" s="4" t="n"/>
      <c r="F62" s="4" t="n"/>
      <c r="G62" s="4">
        <f>G61+E62-F62</f>
        <v/>
      </c>
    </row>
    <row r="63">
      <c r="A63" t="inlineStr">
        <is>
          <t>21/03/2026</t>
        </is>
      </c>
      <c r="B63" t="inlineStr"/>
      <c r="C63" t="inlineStr">
        <is>
          <t>Gary leckey Sumup</t>
        </is>
      </c>
      <c r="D63" t="inlineStr"/>
      <c r="E63" s="5" t="n"/>
      <c r="F63" s="5" t="n"/>
      <c r="G63" s="5">
        <f>G62+E63-F63</f>
        <v/>
      </c>
    </row>
    <row r="64">
      <c r="A64" s="3" t="inlineStr">
        <is>
          <t>20/03/2026</t>
        </is>
      </c>
      <c r="B64" s="3" t="inlineStr"/>
      <c r="C64" s="3" t="inlineStr">
        <is>
          <t>Geraldine cromie r</t>
        </is>
      </c>
      <c r="D64" s="3" t="inlineStr"/>
      <c r="E64" s="4" t="n"/>
      <c r="F64" s="4" t="n"/>
      <c r="G64" s="4">
        <f>G63+E64-F64</f>
        <v/>
      </c>
    </row>
    <row r="65">
      <c r="A65" t="inlineStr">
        <is>
          <t>20/03/2026</t>
        </is>
      </c>
      <c r="B65" t="inlineStr"/>
      <c r="C65" t="inlineStr">
        <is>
          <t>Ravenous P</t>
        </is>
      </c>
      <c r="D65" t="inlineStr"/>
      <c r="E65" s="5" t="n"/>
      <c r="F65" s="5" t="n"/>
      <c r="G65" s="5">
        <f>G64+E65-F65</f>
        <v/>
      </c>
    </row>
    <row r="66">
      <c r="A66" s="3" t="inlineStr">
        <is>
          <t>18/03/2026</t>
        </is>
      </c>
      <c r="B66" s="3" t="inlineStr"/>
      <c r="C66" s="3" t="inlineStr">
        <is>
          <t>Gary leckey Sumup</t>
        </is>
      </c>
      <c r="D66" s="3" t="inlineStr"/>
      <c r="E66" s="4" t="n"/>
      <c r="F66" s="4" t="n"/>
      <c r="G66" s="4">
        <f>G65+E66-F66</f>
        <v/>
      </c>
    </row>
    <row r="67">
      <c r="A67" t="inlineStr">
        <is>
          <t>18/03/2026</t>
        </is>
      </c>
      <c r="B67" t="inlineStr"/>
      <c r="C67" t="inlineStr">
        <is>
          <t>Gary leckey Sumup</t>
        </is>
      </c>
      <c r="D67" t="inlineStr"/>
      <c r="E67" s="5" t="n"/>
      <c r="F67" s="5" t="n"/>
      <c r="G67" s="5">
        <f>G66+E67-F67</f>
        <v/>
      </c>
    </row>
    <row r="68">
      <c r="A68" s="3" t="inlineStr">
        <is>
          <t>18/03/2026</t>
        </is>
      </c>
      <c r="B68" s="3" t="inlineStr"/>
      <c r="C68" s="3" t="inlineStr">
        <is>
          <t>Gary leckey Sumup</t>
        </is>
      </c>
      <c r="D68" s="3" t="inlineStr"/>
      <c r="E68" s="4" t="n"/>
      <c r="F68" s="4" t="n"/>
      <c r="G68" s="4">
        <f>G67+E68-F68</f>
        <v/>
      </c>
    </row>
    <row r="69">
      <c r="A69" t="inlineStr">
        <is>
          <t>18/03/2026</t>
        </is>
      </c>
      <c r="B69" t="inlineStr"/>
      <c r="C69" t="inlineStr">
        <is>
          <t>Gary leckey Sumup</t>
        </is>
      </c>
      <c r="D69" t="inlineStr"/>
      <c r="E69" s="5" t="n"/>
      <c r="F69" s="5" t="n"/>
      <c r="G69" s="5">
        <f>G68+E69-F69</f>
        <v/>
      </c>
    </row>
    <row r="70">
      <c r="A70" s="3" t="inlineStr">
        <is>
          <t>18/03/2026</t>
        </is>
      </c>
      <c r="B70" s="3" t="inlineStr"/>
      <c r="C70" s="3" t="inlineStr">
        <is>
          <t>GROVE BUILDERS LTD GROVE BUILDERS LTD</t>
        </is>
      </c>
      <c r="D70" s="3" t="inlineStr"/>
      <c r="E70" s="4" t="n"/>
      <c r="F70" s="4" t="n"/>
      <c r="G70" s="4">
        <f>G69+E70-F70</f>
        <v/>
      </c>
    </row>
    <row r="71">
      <c r="A71" t="inlineStr">
        <is>
          <t>18/03/2026</t>
        </is>
      </c>
      <c r="B71" t="inlineStr"/>
      <c r="C71" t="inlineStr">
        <is>
          <t>Fin: CO-OP GROUP 140006,523,Old Park Roa</t>
        </is>
      </c>
      <c r="D71" t="inlineStr"/>
      <c r="E71" s="5" t="n"/>
      <c r="F71" s="5" t="n"/>
      <c r="G71" s="5">
        <f>G70+E71-F71</f>
        <v/>
      </c>
    </row>
    <row r="72">
      <c r="A72" s="3" t="inlineStr">
        <is>
          <t>17/03/2026</t>
        </is>
      </c>
      <c r="B72" s="3" t="inlineStr"/>
      <c r="C72" s="3" t="inlineStr">
        <is>
          <t>Gary leckey Sumup</t>
        </is>
      </c>
      <c r="D72" s="3" t="inlineStr"/>
      <c r="E72" s="4" t="n"/>
      <c r="F72" s="4" t="n"/>
      <c r="G72" s="4">
        <f>G71+E72-F72</f>
        <v/>
      </c>
    </row>
    <row r="73">
      <c r="A73" t="inlineStr">
        <is>
          <t>17/03/2026</t>
        </is>
      </c>
      <c r="B73" t="inlineStr"/>
      <c r="C73" t="inlineStr">
        <is>
          <t>Ravenous P</t>
        </is>
      </c>
      <c r="D73" t="inlineStr"/>
      <c r="E73" s="5" t="n"/>
      <c r="F73" s="5" t="n"/>
      <c r="G73" s="5">
        <f>G72+E73-F73</f>
        <v/>
      </c>
    </row>
    <row r="74">
      <c r="A74" s="3" t="inlineStr">
        <is>
          <t>17/03/2026</t>
        </is>
      </c>
      <c r="B74" s="3" t="inlineStr"/>
      <c r="C74" s="3" t="inlineStr">
        <is>
          <t>Fin: MCDONALDS 1525,SHORE ROAD,BELFAST,G</t>
        </is>
      </c>
      <c r="D74" s="3" t="inlineStr"/>
      <c r="E74" s="4" t="n"/>
      <c r="F74" s="4" t="n"/>
      <c r="G74" s="4">
        <f>G73+E74-F74</f>
        <v/>
      </c>
    </row>
    <row r="75">
      <c r="A75" t="inlineStr">
        <is>
          <t>16/03/2026</t>
        </is>
      </c>
      <c r="B75" t="inlineStr"/>
      <c r="C75" t="inlineStr">
        <is>
          <t>Fin: MAXOL SSTN FORTWILLIAM,452 A,BELFAS</t>
        </is>
      </c>
      <c r="D75" t="inlineStr"/>
      <c r="E75" s="5" t="n"/>
      <c r="F75" s="5" t="n"/>
      <c r="G75" s="5">
        <f>G74+E75-F75</f>
        <v/>
      </c>
    </row>
    <row r="76">
      <c r="A76" s="3" t="inlineStr">
        <is>
          <t>16/03/2026</t>
        </is>
      </c>
      <c r="B76" s="3" t="inlineStr"/>
      <c r="C76" s="3" t="inlineStr">
        <is>
          <t>Fin: APPLEGREEN BALLYMEENA,APPL,BALLYMEN</t>
        </is>
      </c>
      <c r="D76" s="3" t="inlineStr"/>
      <c r="E76" s="4" t="n"/>
      <c r="F76" s="4" t="n"/>
      <c r="G76" s="4">
        <f>G75+E76-F76</f>
        <v/>
      </c>
    </row>
    <row r="77">
      <c r="A77" t="inlineStr">
        <is>
          <t>16/03/2026</t>
        </is>
      </c>
      <c r="B77" t="inlineStr"/>
      <c r="C77" t="inlineStr">
        <is>
          <t>Fin: Mauds icecream,Glenariffe,Glenariff</t>
        </is>
      </c>
      <c r="D77" t="inlineStr"/>
      <c r="E77" s="5" t="n"/>
      <c r="F77" s="5" t="n"/>
      <c r="G77" s="5">
        <f>G76+E77-F77</f>
        <v/>
      </c>
    </row>
    <row r="78">
      <c r="A78" s="3" t="inlineStr">
        <is>
          <t>16/03/2026</t>
        </is>
      </c>
      <c r="B78" s="3" t="inlineStr"/>
      <c r="C78" s="3" t="inlineStr">
        <is>
          <t>Fin: ASDA STORES,219 Shore Road,BELFAST,</t>
        </is>
      </c>
      <c r="D78" s="3" t="inlineStr"/>
      <c r="E78" s="4" t="n"/>
      <c r="F78" s="4" t="n"/>
      <c r="G78" s="4">
        <f>G77+E78-F78</f>
        <v/>
      </c>
    </row>
    <row r="79">
      <c r="A79" t="inlineStr">
        <is>
          <t>16/03/2026</t>
        </is>
      </c>
      <c r="B79" t="inlineStr"/>
      <c r="C79" t="inlineStr">
        <is>
          <t>Fin: APPLEGREEN BALLYMEENA,APPL,BALLYMEN</t>
        </is>
      </c>
      <c r="D79" t="inlineStr"/>
      <c r="E79" s="5" t="n"/>
      <c r="F79" s="5" t="n"/>
      <c r="G79" s="5">
        <f>G78+E79-F79</f>
        <v/>
      </c>
    </row>
    <row r="80">
      <c r="A80" s="3" t="inlineStr">
        <is>
          <t>15/03/2026</t>
        </is>
      </c>
      <c r="B80" s="3" t="inlineStr"/>
      <c r="C80" s="3" t="inlineStr">
        <is>
          <t>Ravenous Ravenous</t>
        </is>
      </c>
      <c r="D80" s="3" t="inlineStr"/>
      <c r="E80" s="4" t="n"/>
      <c r="F80" s="4" t="n"/>
      <c r="G80" s="4">
        <f>G79+E80-F80</f>
        <v/>
      </c>
    </row>
    <row r="81">
      <c r="A81" t="inlineStr">
        <is>
          <t>15/03/2026</t>
        </is>
      </c>
      <c r="B81" t="inlineStr"/>
      <c r="C81" t="inlineStr">
        <is>
          <t>Ravenous Ravenous</t>
        </is>
      </c>
      <c r="D81" t="inlineStr"/>
      <c r="E81" s="5" t="n"/>
      <c r="F81" s="5" t="n"/>
      <c r="G81" s="5">
        <f>G80+E81-F81</f>
        <v/>
      </c>
    </row>
    <row r="82">
      <c r="A82" s="3" t="inlineStr">
        <is>
          <t>13/03/2026</t>
        </is>
      </c>
      <c r="B82" s="3" t="inlineStr"/>
      <c r="C82" s="3" t="inlineStr">
        <is>
          <t>Geraldine cromie r</t>
        </is>
      </c>
      <c r="D82" s="3" t="inlineStr"/>
      <c r="E82" s="4" t="n"/>
      <c r="F82" s="4" t="n"/>
      <c r="G82" s="4">
        <f>G81+E82-F82</f>
        <v/>
      </c>
    </row>
    <row r="83">
      <c r="A83" t="inlineStr">
        <is>
          <t>13/03/2026</t>
        </is>
      </c>
      <c r="B83" t="inlineStr"/>
      <c r="C83" t="inlineStr">
        <is>
          <t>R&amp;A consulting and brokerage services Se</t>
        </is>
      </c>
      <c r="D83" t="inlineStr"/>
      <c r="E83" s="5" t="n"/>
      <c r="F83" s="5" t="n"/>
      <c r="G83" s="5">
        <f>G82+E83-F83</f>
        <v/>
      </c>
    </row>
    <row r="84">
      <c r="A84" s="3" t="inlineStr">
        <is>
          <t>10/03/2026</t>
        </is>
      </c>
      <c r="B84" s="3" t="inlineStr"/>
      <c r="C84" s="3" t="inlineStr">
        <is>
          <t>Fin: MCDONALDS 1674,BALLYGOMARTIN,BELFAS</t>
        </is>
      </c>
      <c r="D84" s="3" t="inlineStr"/>
      <c r="E84" s="4" t="n"/>
      <c r="F84" s="4" t="n"/>
      <c r="G84" s="4">
        <f>G83+E84-F84</f>
        <v/>
      </c>
    </row>
    <row r="85">
      <c r="A85" t="inlineStr">
        <is>
          <t>10/03/2026</t>
        </is>
      </c>
      <c r="B85" t="inlineStr"/>
      <c r="C85" t="inlineStr">
        <is>
          <t>**** Cashback ****</t>
        </is>
      </c>
      <c r="D85" t="inlineStr"/>
      <c r="E85" s="5" t="n"/>
      <c r="F85" s="5" t="n"/>
      <c r="G85" s="5">
        <f>G84+E85-F85</f>
        <v/>
      </c>
    </row>
    <row r="86">
      <c r="A86" s="3" t="inlineStr">
        <is>
          <t>09/03/2026</t>
        </is>
      </c>
      <c r="B86" s="3" t="inlineStr"/>
      <c r="C86" s="3" t="inlineStr">
        <is>
          <t>Fin: CO-OP GROUP 140006,523,Old Park Roa</t>
        </is>
      </c>
      <c r="D86" s="3" t="inlineStr"/>
      <c r="E86" s="4" t="n"/>
      <c r="F86" s="4" t="n"/>
      <c r="G86" s="4">
        <f>G85+E86-F86</f>
        <v/>
      </c>
    </row>
    <row r="87">
      <c r="A87" t="inlineStr">
        <is>
          <t>09/03/2026</t>
        </is>
      </c>
      <c r="B87" t="inlineStr"/>
      <c r="C87" t="inlineStr">
        <is>
          <t>Fin: MOUNT ALVERNO FILLING,703 SP,BELFAS</t>
        </is>
      </c>
      <c r="D87" t="inlineStr"/>
      <c r="E87" s="5" t="n"/>
      <c r="F87" s="5" t="n"/>
      <c r="G87" s="5">
        <f>G86+E87-F87</f>
        <v/>
      </c>
    </row>
    <row r="88">
      <c r="A88" s="3" t="inlineStr">
        <is>
          <t>09/03/2026</t>
        </is>
      </c>
      <c r="B88" s="3" t="inlineStr"/>
      <c r="C88" s="3" t="inlineStr">
        <is>
          <t>Fin: CO-OP GROUP 140006,523,Old Park Roa</t>
        </is>
      </c>
      <c r="D88" s="3" t="inlineStr"/>
      <c r="E88" s="4" t="n"/>
      <c r="F88" s="4" t="n"/>
      <c r="G88" s="4">
        <f>G87+E88-F88</f>
        <v/>
      </c>
    </row>
    <row r="89">
      <c r="A89" t="inlineStr">
        <is>
          <t>08/03/2026</t>
        </is>
      </c>
      <c r="B89" t="inlineStr"/>
      <c r="C89" t="inlineStr">
        <is>
          <t>Ravenous P</t>
        </is>
      </c>
      <c r="D89" t="inlineStr"/>
      <c r="E89" s="5" t="n"/>
      <c r="F89" s="5" t="n"/>
      <c r="G89" s="5">
        <f>G88+E89-F89</f>
        <v/>
      </c>
    </row>
    <row r="90">
      <c r="A90" s="3" t="inlineStr">
        <is>
          <t>07/03/2026</t>
        </is>
      </c>
      <c r="B90" s="3" t="inlineStr"/>
      <c r="C90" s="3" t="inlineStr">
        <is>
          <t>Fin: MCDONALDS,BALLYMENA ROAD,ANTRIM,GBR</t>
        </is>
      </c>
      <c r="D90" s="3" t="inlineStr"/>
      <c r="E90" s="4" t="n"/>
      <c r="F90" s="4" t="n"/>
      <c r="G90" s="4">
        <f>G89+E90-F90</f>
        <v/>
      </c>
    </row>
    <row r="91">
      <c r="A91" t="inlineStr">
        <is>
          <t>07/03/2026</t>
        </is>
      </c>
      <c r="B91" t="inlineStr"/>
      <c r="C91" t="inlineStr">
        <is>
          <t>Fin: Naan Doughs,337 Finaghy Road,Belfas</t>
        </is>
      </c>
      <c r="D91" t="inlineStr"/>
      <c r="E91" s="5" t="n"/>
      <c r="F91" s="5" t="n"/>
      <c r="G91" s="5">
        <f>G90+E91-F91</f>
        <v/>
      </c>
    </row>
    <row r="92">
      <c r="A92" s="3" t="inlineStr">
        <is>
          <t>07/03/2026</t>
        </is>
      </c>
      <c r="B92" s="3" t="inlineStr"/>
      <c r="C92" s="3" t="inlineStr">
        <is>
          <t>Fin: BURGER KING JUNCTION O,JUNCTIO,ANTI</t>
        </is>
      </c>
      <c r="D92" s="3" t="inlineStr"/>
      <c r="E92" s="4" t="n"/>
      <c r="F92" s="4" t="n"/>
      <c r="G92" s="4">
        <f>G91+E92-F92</f>
        <v/>
      </c>
    </row>
    <row r="93">
      <c r="A93" t="inlineStr">
        <is>
          <t>07/03/2026</t>
        </is>
      </c>
      <c r="B93" t="inlineStr"/>
      <c r="C93" t="inlineStr">
        <is>
          <t>Fin: SPAR LIGONIEL,1 WEAVERSHILL ,BELFAS</t>
        </is>
      </c>
      <c r="D93" t="inlineStr"/>
      <c r="E93" s="5" t="n"/>
      <c r="F93" s="5" t="n"/>
      <c r="G93" s="5">
        <f>G92+E93-F93</f>
        <v/>
      </c>
    </row>
    <row r="94">
      <c r="A94" s="3" t="inlineStr">
        <is>
          <t>07/03/2026</t>
        </is>
      </c>
      <c r="B94" s="3" t="inlineStr"/>
      <c r="C94" s="3" t="inlineStr">
        <is>
          <t>Fin: Google Play Apps,New Street S,Londo</t>
        </is>
      </c>
      <c r="D94" s="3" t="inlineStr"/>
      <c r="E94" s="4" t="n"/>
      <c r="F94" s="4" t="n"/>
      <c r="G94" s="4">
        <f>G93+E94-F94</f>
        <v/>
      </c>
    </row>
    <row r="95">
      <c r="A95" t="inlineStr">
        <is>
          <t>06/03/2026</t>
        </is>
      </c>
      <c r="B95" t="inlineStr"/>
      <c r="C95" t="inlineStr">
        <is>
          <t>Tina brown tina</t>
        </is>
      </c>
      <c r="D95" t="inlineStr"/>
      <c r="E95" s="5" t="n"/>
      <c r="F95" s="5" t="n"/>
      <c r="G95" s="5">
        <f>G94+E95-F95</f>
        <v/>
      </c>
    </row>
    <row r="96">
      <c r="A96" s="3" t="inlineStr">
        <is>
          <t>06/03/2026</t>
        </is>
      </c>
      <c r="B96" s="3" t="inlineStr"/>
      <c r="C96" s="3" t="inlineStr">
        <is>
          <t>Gary leckey Sumup</t>
        </is>
      </c>
      <c r="D96" s="3" t="inlineStr"/>
      <c r="E96" s="4" t="n"/>
      <c r="F96" s="4" t="n"/>
      <c r="G96" s="4">
        <f>G95+E96-F96</f>
        <v/>
      </c>
    </row>
    <row r="97">
      <c r="A97" t="inlineStr">
        <is>
          <t>06/03/2026</t>
        </is>
      </c>
      <c r="B97" t="inlineStr"/>
      <c r="C97" t="inlineStr">
        <is>
          <t>HERON BROS LIMITED SPN000913</t>
        </is>
      </c>
      <c r="D97" t="inlineStr"/>
      <c r="E97" s="5" t="n"/>
      <c r="F97" s="5" t="n"/>
      <c r="G97" s="5">
        <f>G96+E97-F97</f>
        <v/>
      </c>
    </row>
    <row r="98">
      <c r="A98" s="3" t="inlineStr">
        <is>
          <t>06/03/2026</t>
        </is>
      </c>
      <c r="B98" s="3" t="inlineStr"/>
      <c r="C98" s="3" t="inlineStr">
        <is>
          <t>Geraldine cromie r</t>
        </is>
      </c>
      <c r="D98" s="3" t="inlineStr"/>
      <c r="E98" s="4" t="n"/>
      <c r="F98" s="4" t="n"/>
      <c r="G98" s="4">
        <f>G97+E98-F98</f>
        <v/>
      </c>
    </row>
    <row r="99">
      <c r="A99" t="inlineStr">
        <is>
          <t>06/03/2026</t>
        </is>
      </c>
      <c r="B99" t="inlineStr"/>
      <c r="C99" t="inlineStr">
        <is>
          <t>R&amp;A consulting and brokerage services Se</t>
        </is>
      </c>
      <c r="D99" t="inlineStr"/>
      <c r="E99" s="5" t="n"/>
      <c r="F99" s="5" t="n"/>
      <c r="G99" s="5">
        <f>G98+E99-F99</f>
        <v/>
      </c>
    </row>
    <row r="100">
      <c r="A100" s="3" t="inlineStr">
        <is>
          <t>04/03/2026</t>
        </is>
      </c>
      <c r="B100" s="3" t="inlineStr"/>
      <c r="C100" s="3" t="inlineStr">
        <is>
          <t>carl maguire as</t>
        </is>
      </c>
      <c r="D100" s="3" t="inlineStr"/>
      <c r="E100" s="4" t="n"/>
      <c r="F100" s="4" t="n"/>
      <c r="G100" s="4">
        <f>G99+E100-F100</f>
        <v/>
      </c>
    </row>
    <row r="101">
      <c r="A101" t="inlineStr">
        <is>
          <t>04/03/2026</t>
        </is>
      </c>
      <c r="B101" t="inlineStr"/>
      <c r="C101" t="inlineStr">
        <is>
          <t>Ravenous P</t>
        </is>
      </c>
      <c r="D101" t="inlineStr"/>
      <c r="E101" s="5" t="n"/>
      <c r="F101" s="5" t="n"/>
      <c r="G101" s="5">
        <f>G100+E101-F101</f>
        <v/>
      </c>
    </row>
    <row r="102">
      <c r="A102" s="3" t="inlineStr">
        <is>
          <t>04/03/2026</t>
        </is>
      </c>
      <c r="B102" s="3" t="inlineStr"/>
      <c r="C102" s="3" t="inlineStr">
        <is>
          <t>Gary leckey Sumup</t>
        </is>
      </c>
      <c r="D102" s="3" t="inlineStr"/>
      <c r="E102" s="4" t="n"/>
      <c r="F102" s="4" t="n"/>
      <c r="G102" s="4">
        <f>G101+E102-F102</f>
        <v/>
      </c>
    </row>
    <row r="103">
      <c r="A103" t="inlineStr">
        <is>
          <t>04/03/2026</t>
        </is>
      </c>
      <c r="B103" t="inlineStr"/>
      <c r="C103" t="inlineStr">
        <is>
          <t>Amanda Toner garyo</t>
        </is>
      </c>
      <c r="D103" t="inlineStr"/>
      <c r="E103" s="5" t="n"/>
      <c r="F103" s="5" t="n"/>
      <c r="G103" s="5">
        <f>G102+E103-F103</f>
        <v/>
      </c>
    </row>
    <row r="104">
      <c r="A104" s="3" t="inlineStr">
        <is>
          <t>04/03/2026</t>
        </is>
      </c>
      <c r="B104" s="3" t="inlineStr"/>
      <c r="C104" s="3" t="inlineStr">
        <is>
          <t>Gary leckey Sumup</t>
        </is>
      </c>
      <c r="D104" s="3" t="inlineStr"/>
      <c r="E104" s="4" t="n"/>
      <c r="F104" s="4" t="n"/>
      <c r="G104" s="4">
        <f>G103+E104-F104</f>
        <v/>
      </c>
    </row>
    <row r="105">
      <c r="A105" t="inlineStr">
        <is>
          <t>04/03/2026</t>
        </is>
      </c>
      <c r="B105" t="inlineStr"/>
      <c r="C105" t="inlineStr">
        <is>
          <t>peter black pet</t>
        </is>
      </c>
      <c r="D105" t="inlineStr"/>
      <c r="E105" s="5" t="n"/>
      <c r="F105" s="5" t="n"/>
      <c r="G105" s="5">
        <f>G104+E105-F105</f>
        <v/>
      </c>
    </row>
    <row r="106">
      <c r="A106" s="3" t="inlineStr">
        <is>
          <t>04/03/2026</t>
        </is>
      </c>
      <c r="B106" s="3" t="inlineStr"/>
      <c r="C106" s="3" t="inlineStr">
        <is>
          <t>Amanda Toner garyo</t>
        </is>
      </c>
      <c r="D106" s="3" t="inlineStr"/>
      <c r="E106" s="4" t="n"/>
      <c r="F106" s="4" t="n"/>
      <c r="G106" s="4">
        <f>G105+E106-F106</f>
        <v/>
      </c>
    </row>
    <row r="107">
      <c r="A107" t="inlineStr">
        <is>
          <t>04/03/2026</t>
        </is>
      </c>
      <c r="B107" t="inlineStr"/>
      <c r="C107" t="inlineStr">
        <is>
          <t>Paul ward Quest 3 gumtree</t>
        </is>
      </c>
      <c r="D107" t="inlineStr"/>
      <c r="E107" s="5" t="n"/>
      <c r="F107" s="5" t="n"/>
      <c r="G107" s="5">
        <f>G106+E107-F107</f>
        <v/>
      </c>
    </row>
    <row r="108">
      <c r="A108" s="3" t="inlineStr">
        <is>
          <t>04/03/2026</t>
        </is>
      </c>
      <c r="B108" s="3" t="inlineStr"/>
      <c r="C108" s="3" t="inlineStr">
        <is>
          <t>Granite properties 1733 gary leckey</t>
        </is>
      </c>
      <c r="D108" s="3" t="inlineStr"/>
      <c r="E108" s="4" t="n"/>
      <c r="F108" s="4" t="n"/>
      <c r="G108" s="4">
        <f>G107+E108-F108</f>
        <v/>
      </c>
    </row>
    <row r="109">
      <c r="A109" t="inlineStr">
        <is>
          <t>04/03/2026</t>
        </is>
      </c>
      <c r="B109" t="inlineStr"/>
      <c r="C109" t="inlineStr">
        <is>
          <t>GROVE BUILDERS LTD GROVE BUILDERS LTD</t>
        </is>
      </c>
      <c r="D109" t="inlineStr"/>
      <c r="E109" s="5" t="n"/>
      <c r="F109" s="5" t="n"/>
      <c r="G109" s="5">
        <f>G108+E109-F109</f>
        <v/>
      </c>
    </row>
    <row r="110">
      <c r="A110" s="3" t="inlineStr">
        <is>
          <t>03/03/2026</t>
        </is>
      </c>
      <c r="B110" s="3" t="inlineStr"/>
      <c r="C110" s="3" t="inlineStr">
        <is>
          <t>Fin: MUSGRAVE MARKET PLACE,1-15 D,BELFAS</t>
        </is>
      </c>
      <c r="D110" s="3" t="inlineStr"/>
      <c r="E110" s="4" t="n"/>
      <c r="F110" s="4" t="n"/>
      <c r="G110" s="4">
        <f>G109+E110-F110</f>
        <v/>
      </c>
    </row>
    <row r="111">
      <c r="A111" t="inlineStr">
        <is>
          <t>02/03/2026</t>
        </is>
      </c>
      <c r="B111" t="inlineStr"/>
      <c r="C111" t="inlineStr">
        <is>
          <t>Fin: MAXOL EDENDERRY SSTN,298 CRU,BELFAS</t>
        </is>
      </c>
      <c r="D111" t="inlineStr"/>
      <c r="E111" s="5" t="n"/>
      <c r="F111" s="5" t="n"/>
      <c r="G111" s="5">
        <f>G110+E111-F111</f>
        <v/>
      </c>
    </row>
    <row r="112">
      <c r="A112" s="3" t="inlineStr">
        <is>
          <t>02/03/2026</t>
        </is>
      </c>
      <c r="B112" s="3" t="inlineStr"/>
      <c r="C112" s="3" t="inlineStr">
        <is>
          <t>Ravenous P</t>
        </is>
      </c>
      <c r="D112" s="3" t="inlineStr"/>
      <c r="E112" s="4" t="n"/>
      <c r="F112" s="4" t="n"/>
      <c r="G112" s="4">
        <f>G111+E112-F112</f>
        <v/>
      </c>
    </row>
    <row r="113">
      <c r="A113" t="inlineStr">
        <is>
          <t>02/03/2026</t>
        </is>
      </c>
      <c r="B113" t="inlineStr"/>
      <c r="C113" t="inlineStr">
        <is>
          <t>Ravenous P</t>
        </is>
      </c>
      <c r="D113" t="inlineStr"/>
      <c r="E113" s="5" t="n"/>
      <c r="F113" s="5" t="n"/>
      <c r="G113" s="5">
        <f>G112+E113-F113</f>
        <v/>
      </c>
    </row>
    <row r="114">
      <c r="A114" s="6" t="n"/>
      <c r="B114" s="6" t="n"/>
      <c r="C114" s="6" t="n"/>
      <c r="D114" s="7" t="inlineStr">
        <is>
          <t>TOTALS</t>
        </is>
      </c>
      <c r="E114" s="8">
        <f>SUM(E4:E113)</f>
        <v/>
      </c>
      <c r="F114" s="8">
        <f>SUM(F4:F113)</f>
        <v/>
      </c>
      <c r="G114" s="6" t="n"/>
    </row>
  </sheetData>
  <autoFilter ref="A3:G1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2026-04-09T17:27:45Z</dcterms:created>
  <dcterms:modified xmlns:dcterms="http://purl.org/dc/terms/" xmlns:xsi="http://www.w3.org/2001/XMLSchema-instance" xsi:type="dcterms:W3CDTF">2026-04-09T17:27:45Z</dcterms:modified>
</cp:coreProperties>
</file>