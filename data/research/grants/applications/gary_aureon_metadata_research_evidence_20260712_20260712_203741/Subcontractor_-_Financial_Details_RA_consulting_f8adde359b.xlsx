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1b4e1935e29ceed/"/>
    </mc:Choice>
  </mc:AlternateContent>
  <xr:revisionPtr revIDLastSave="0" documentId="8_{C3BA06A4-D88F-443B-8993-3481ADC1F663}" xr6:coauthVersionLast="47" xr6:coauthVersionMax="47" xr10:uidLastSave="{00000000-0000-0000-0000-000000000000}"/>
  <bookViews>
    <workbookView xWindow="-108" yWindow="-108" windowWidth="23256" windowHeight="12456" xr2:uid="{151574D4-5E4C-46BB-8C94-E071D9E25CE8}"/>
  </bookViews>
  <sheets>
    <sheet name="CIS &amp; Bank Details" sheetId="1" r:id="rId1"/>
    <sheet name="Data" sheetId="2" state="hidden" r:id="rId2"/>
  </sheets>
  <definedNames>
    <definedName name="_xlnm.Print_Area" localSheetId="0">'CIS &amp; Bank Details'!$A$1:$S$62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29" i="1" l="1"/>
  <c r="A27" i="1" l="1"/>
  <c r="A25" i="1" l="1"/>
  <c r="A23" i="1"/>
  <c r="A21" i="1"/>
  <c r="A19" i="1"/>
</calcChain>
</file>

<file path=xl/sharedStrings.xml><?xml version="1.0" encoding="utf-8"?>
<sst xmlns="http://schemas.openxmlformats.org/spreadsheetml/2006/main" count="61" uniqueCount="50">
  <si>
    <t>Individual</t>
  </si>
  <si>
    <t xml:space="preserve">Company </t>
  </si>
  <si>
    <t>Trust</t>
  </si>
  <si>
    <t>-</t>
  </si>
  <si>
    <t>Surname:</t>
  </si>
  <si>
    <t>Company/Trading Name:</t>
  </si>
  <si>
    <t>Partnership/Trading Name:</t>
  </si>
  <si>
    <t>Trust Name:</t>
  </si>
  <si>
    <t>First Name:</t>
  </si>
  <si>
    <t>Company Unique Taxpayer Reference (UTR):</t>
  </si>
  <si>
    <t>Partnership Unique Taxpayer Reference (UTR):</t>
  </si>
  <si>
    <t>Trust Unique Taxpayer Reference (UTR):</t>
  </si>
  <si>
    <t>Trading Name:</t>
  </si>
  <si>
    <t>Company Registration Number (CRN):</t>
  </si>
  <si>
    <t>Unique Taxpayer Reference (UTR):</t>
  </si>
  <si>
    <t>Partners National Insurance Number:</t>
  </si>
  <si>
    <t>National Insurance Number:</t>
  </si>
  <si>
    <t>CIS Details:</t>
  </si>
  <si>
    <t>Bank Details:</t>
  </si>
  <si>
    <t>Account Name:</t>
  </si>
  <si>
    <t>Sort Code:</t>
  </si>
  <si>
    <t>Account Number:</t>
  </si>
  <si>
    <t>Partnership - Individuals</t>
  </si>
  <si>
    <t>Partnership - Companies</t>
  </si>
  <si>
    <t>Partners Unique Taxpayer Reference (UTR):</t>
  </si>
  <si>
    <t>Contact Details:</t>
  </si>
  <si>
    <t>Insurance Certificate contact email address:</t>
  </si>
  <si>
    <t>Accounts contact email address:</t>
  </si>
  <si>
    <r>
      <t xml:space="preserve">Subcontractor is operating as </t>
    </r>
    <r>
      <rPr>
        <sz val="11"/>
        <color rgb="FFFF0000"/>
        <rFont val="Calibri"/>
        <family val="2"/>
        <scheme val="minor"/>
      </rPr>
      <t>(</t>
    </r>
    <r>
      <rPr>
        <u/>
        <sz val="11"/>
        <color rgb="FFFF0000"/>
        <rFont val="Calibri"/>
        <family val="2"/>
        <scheme val="minor"/>
      </rPr>
      <t>please select from the dropdown</t>
    </r>
    <r>
      <rPr>
        <sz val="11"/>
        <color rgb="FFFF0000"/>
        <rFont val="Calibri"/>
        <family val="2"/>
        <scheme val="minor"/>
      </rPr>
      <t>)</t>
    </r>
    <r>
      <rPr>
        <sz val="11"/>
        <color theme="1"/>
        <rFont val="Calibri"/>
        <family val="2"/>
        <scheme val="minor"/>
      </rPr>
      <t>:</t>
    </r>
  </si>
  <si>
    <t>accounts@heronbros.com</t>
  </si>
  <si>
    <t>Please complete this form and return to:</t>
  </si>
  <si>
    <t>insurances@heronbros.com</t>
  </si>
  <si>
    <r>
      <t xml:space="preserve">Please send all </t>
    </r>
    <r>
      <rPr>
        <b/>
        <u/>
        <sz val="11"/>
        <color theme="1"/>
        <rFont val="Calibri"/>
        <family val="2"/>
        <scheme val="minor"/>
      </rPr>
      <t xml:space="preserve">Insurance Certificates </t>
    </r>
    <r>
      <rPr>
        <u/>
        <sz val="11"/>
        <color theme="1"/>
        <rFont val="Calibri"/>
        <family val="2"/>
        <scheme val="minor"/>
      </rPr>
      <t>(Employer's Liability, Public Liability &amp; Professional Indemnity) to:</t>
    </r>
  </si>
  <si>
    <t>VAT Registration Number:</t>
  </si>
  <si>
    <t>Subcontractor - Financial Details</t>
  </si>
  <si>
    <t>Address:</t>
  </si>
  <si>
    <t>Post code</t>
  </si>
  <si>
    <t>County</t>
  </si>
  <si>
    <t>Country</t>
  </si>
  <si>
    <t>Address line 1</t>
  </si>
  <si>
    <t>Address line 2</t>
  </si>
  <si>
    <t>City or Town</t>
  </si>
  <si>
    <t>R&amp;A CONSULTING AND BROKERAGE SERVICES LTD</t>
  </si>
  <si>
    <t>Quardrant Place</t>
  </si>
  <si>
    <t>belfast</t>
  </si>
  <si>
    <t>Antrim</t>
  </si>
  <si>
    <t>Ireland</t>
  </si>
  <si>
    <t>BT12 4HX</t>
  </si>
  <si>
    <t xml:space="preserve">R&amp;A CONSULTING AND BROKERAGE SERVICES </t>
  </si>
  <si>
    <t>gaxlec@gmail.com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</si>
</sst>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u/>
      <sz val="16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0" applyFont="1" applyAlignment="1">
      <alignment horizontal="left" vertical="center" indent="1"/>
    </xf>
    <xf numFmtId="0" fontId="1" fillId="0" borderId="0" xfId="0" applyFont="1"/>
    <xf numFmtId="0" fontId="0" fillId="0" borderId="1" xfId="0" applyBorder="1" applyAlignment="1" applyProtection="1">
      <alignment horizontal="center"/>
      <protection locked="0"/>
    </xf>
    <xf numFmtId="0" fontId="0" fillId="0" borderId="0" xfId="0" applyAlignment="1">
      <alignment horizontal="left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center"/>
    </xf>
    <xf numFmtId="0" fontId="6" fillId="0" borderId="0" xfId="0" applyFont="1"/>
    <xf numFmtId="0" fontId="5" fillId="0" borderId="0" xfId="0" applyFont="1"/>
    <xf numFmtId="0" fontId="2" fillId="0" borderId="0" xfId="0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0" fillId="0" borderId="2" xfId="0" applyBorder="1" applyAlignment="1" applyProtection="1">
      <alignment horizontal="left"/>
      <protection locked="0"/>
    </xf>
    <xf numFmtId="0" fontId="0" fillId="0" borderId="3" xfId="0" applyBorder="1" applyAlignment="1" applyProtection="1">
      <alignment horizontal="left"/>
      <protection locked="0"/>
    </xf>
    <xf numFmtId="0" fontId="0" fillId="0" borderId="4" xfId="0" applyBorder="1" applyAlignment="1" applyProtection="1">
      <alignment horizontal="left"/>
      <protection locked="0"/>
    </xf>
    <xf numFmtId="0" fontId="9" fillId="0" borderId="0" xfId="1" applyAlignment="1" applyProtection="1">
      <alignment horizontal="left"/>
      <protection locked="0"/>
    </xf>
    <xf numFmtId="0" fontId="0" fillId="0" borderId="2" xfId="0" applyBorder="1" applyAlignment="1" applyProtection="1">
      <alignment horizontal="left"/>
      <protection locked="0"/>
    </xf>
    <xf numFmtId="0" fontId="0" fillId="0" borderId="3" xfId="0" applyBorder="1" applyAlignment="1" applyProtection="1">
      <alignment horizontal="left"/>
      <protection locked="0"/>
    </xf>
    <xf numFmtId="0" fontId="0" fillId="0" borderId="4" xfId="0" applyBorder="1" applyAlignment="1" applyProtection="1">
      <alignment horizontal="left"/>
      <protection locked="0"/>
    </xf>
    <xf numFmtId="0" fontId="3" fillId="0" borderId="0" xfId="0" applyFont="1" applyAlignment="1">
      <alignment horizontal="left"/>
    </xf>
    <xf numFmtId="0" fontId="0" fillId="2" borderId="2" xfId="0" applyFill="1" applyBorder="1" applyAlignment="1" applyProtection="1">
      <alignment horizontal="left"/>
      <protection locked="0"/>
    </xf>
    <xf numFmtId="0" fontId="0" fillId="2" borderId="3" xfId="0" applyFill="1" applyBorder="1" applyAlignment="1" applyProtection="1">
      <alignment horizontal="left"/>
      <protection locked="0"/>
    </xf>
    <xf numFmtId="0" fontId="0" fillId="2" borderId="4" xfId="0" applyFill="1" applyBorder="1" applyAlignment="1" applyProtection="1">
      <alignment horizontal="left"/>
      <protection locked="0"/>
    </xf>
  </cellXfs>
  <cellStyles count="2">
    <cellStyle name="Hyperlink" xfId="1" builtinId="8"/>
    <cellStyle name="Normal" xfId="0" builtinId="0"/>
  </cellStyles>
  <dxfs count="2"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53340</xdr:rowOff>
    </xdr:from>
    <xdr:to>
      <xdr:col>1</xdr:col>
      <xdr:colOff>68581</xdr:colOff>
      <xdr:row>6</xdr:row>
      <xdr:rowOff>60960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0DEC0A8-AB17-4DF6-A48A-B8C107B083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88" t="5876" r="73926" b="82714"/>
        <a:stretch/>
      </xdr:blipFill>
      <xdr:spPr>
        <a:xfrm>
          <a:off x="0" y="53340"/>
          <a:ext cx="1089661" cy="1104900"/>
        </a:xfrm>
        <a:prstGeom prst="rect">
          <a:avLst/>
        </a:prstGeom>
        <a:effectLst>
          <a:outerShdw blurRad="50800" dist="50800" dir="5400000" algn="ctr" rotWithShape="0">
            <a:srgbClr val="000000">
              <a:alpha val="0"/>
            </a:srgbClr>
          </a:outerShdw>
        </a:effectLst>
      </xdr:spPr>
    </xdr:pic>
    <xdr:clientData/>
  </xdr:twoCellAnchor>
  <xdr:twoCellAnchor editAs="oneCell">
    <xdr:from>
      <xdr:col>0</xdr:col>
      <xdr:colOff>0</xdr:colOff>
      <xdr:row>55</xdr:row>
      <xdr:rowOff>123690</xdr:rowOff>
    </xdr:from>
    <xdr:to>
      <xdr:col>18</xdr:col>
      <xdr:colOff>693420</xdr:colOff>
      <xdr:row>62</xdr:row>
      <xdr:rowOff>30480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4F2C7D4-5C1B-4C6B-9FE4-906D3A8EDE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19" t="87435" r="30301" b="3630"/>
        <a:stretch/>
      </xdr:blipFill>
      <xdr:spPr>
        <a:xfrm>
          <a:off x="0" y="8391390"/>
          <a:ext cx="5867400" cy="1186950"/>
        </a:xfrm>
        <a:prstGeom prst="rect">
          <a:avLst/>
        </a:prstGeom>
        <a:effectLst>
          <a:outerShdw blurRad="50800" dist="50800" dir="5400000" algn="ctr" rotWithShape="0">
            <a:srgbClr val="000000">
              <a:alpha val="0"/>
            </a:srgbClr>
          </a:outerShdw>
        </a:effectLst>
      </xdr:spPr>
    </xdr:pic>
    <xdr:clientData/>
  </xdr:twoCellAnchor>
  <xdr:twoCellAnchor editAs="oneCell">
    <xdr:from>
      <xdr:col>15</xdr:col>
      <xdr:colOff>22861</xdr:colOff>
      <xdr:row>0</xdr:row>
      <xdr:rowOff>0</xdr:rowOff>
    </xdr:from>
    <xdr:to>
      <xdr:col>18</xdr:col>
      <xdr:colOff>670561</xdr:colOff>
      <xdr:row>6</xdr:row>
      <xdr:rowOff>129540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F5543D1-5E4C-4940-9ADE-C0B99FD820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146" t="17522" r="4101" b="69809"/>
        <a:stretch/>
      </xdr:blipFill>
      <xdr:spPr>
        <a:xfrm>
          <a:off x="4465321" y="0"/>
          <a:ext cx="1379220" cy="1226820"/>
        </a:xfrm>
        <a:prstGeom prst="rect">
          <a:avLst/>
        </a:prstGeom>
        <a:effectLst>
          <a:outerShdw blurRad="50800" dist="50800" dir="5400000" algn="ctr" rotWithShape="0">
            <a:srgbClr val="000000">
              <a:alpha val="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insurances@heronbros.com" TargetMode="External"/><Relationship Id="rId1" Type="http://schemas.openxmlformats.org/officeDocument/2006/relationships/hyperlink" Target="mailto:accounts@heronbros.co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257F1-596F-4B83-8068-42A0BD21F0B0}">
  <dimension ref="A8:S58"/>
  <sheetViews>
    <sheetView showGridLines="0" showZeros="0" tabSelected="1" zoomScaleNormal="100" zoomScaleSheetLayoutView="80" workbookViewId="0">
      <selection activeCell="I54" sqref="I54:S54"/>
    </sheetView>
  </sheetViews>
  <sheetFormatPr defaultColWidth="8.88671875" defaultRowHeight="14.4" x14ac:dyDescent="0.3"/>
  <cols>
    <col min="1" max="1" width="14.88671875" customWidth="1"/>
    <col min="2" max="2" width="3.6640625" customWidth="1"/>
    <col min="3" max="18" width="3.5546875" customWidth="1"/>
    <col min="19" max="19" width="11" customWidth="1"/>
  </cols>
  <sheetData>
    <row r="8" spans="1:19" ht="21" x14ac:dyDescent="0.4">
      <c r="A8" s="10" t="s">
        <v>34</v>
      </c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9" x14ac:dyDescent="0.3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</row>
    <row r="10" spans="1:19" x14ac:dyDescent="0.3">
      <c r="A10" s="9" t="s">
        <v>30</v>
      </c>
      <c r="B10" s="11"/>
      <c r="C10" s="11"/>
      <c r="D10" s="11"/>
      <c r="E10" s="11"/>
      <c r="F10" s="11"/>
      <c r="G10" s="11"/>
      <c r="H10" s="11"/>
      <c r="I10" s="16" t="s">
        <v>29</v>
      </c>
      <c r="J10" s="16"/>
      <c r="K10" s="16"/>
      <c r="L10" s="16"/>
      <c r="M10" s="16"/>
      <c r="N10" s="16"/>
      <c r="O10" s="16"/>
      <c r="P10" s="16"/>
      <c r="Q10" s="16"/>
      <c r="R10" s="16"/>
      <c r="S10" s="16"/>
    </row>
    <row r="11" spans="1:19" x14ac:dyDescent="0.3">
      <c r="A11" s="11"/>
      <c r="B11" s="11"/>
      <c r="C11" s="11"/>
      <c r="D11" s="11"/>
      <c r="E11" s="11"/>
      <c r="F11" s="11"/>
      <c r="G11" s="11"/>
      <c r="H11" s="11"/>
    </row>
    <row r="12" spans="1:19" x14ac:dyDescent="0.3">
      <c r="A12" s="12" t="s">
        <v>32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9" x14ac:dyDescent="0.3">
      <c r="A13" s="12"/>
      <c r="B13" s="11"/>
      <c r="C13" s="11"/>
      <c r="D13" s="11"/>
      <c r="E13" s="11"/>
      <c r="F13" s="11"/>
      <c r="G13" s="11"/>
      <c r="H13" s="11"/>
      <c r="I13" s="16" t="s">
        <v>31</v>
      </c>
      <c r="J13" s="16"/>
      <c r="K13" s="16"/>
      <c r="L13" s="16"/>
      <c r="M13" s="16"/>
      <c r="N13" s="16"/>
      <c r="O13" s="16"/>
      <c r="P13" s="16"/>
      <c r="Q13" s="16"/>
      <c r="R13" s="16"/>
      <c r="S13" s="16"/>
    </row>
    <row r="14" spans="1:19" x14ac:dyDescent="0.3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</row>
    <row r="15" spans="1:19" s="8" customFormat="1" ht="18" x14ac:dyDescent="0.35">
      <c r="A15" s="20" t="s">
        <v>17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</row>
    <row r="17" spans="1:19" x14ac:dyDescent="0.3">
      <c r="A17" t="s">
        <v>28</v>
      </c>
      <c r="M17" s="21" t="s">
        <v>1</v>
      </c>
      <c r="N17" s="22"/>
      <c r="O17" s="22"/>
      <c r="P17" s="22"/>
      <c r="Q17" s="22"/>
      <c r="R17" s="22"/>
      <c r="S17" s="23"/>
    </row>
    <row r="19" spans="1:19" x14ac:dyDescent="0.3">
      <c r="A19" t="str">
        <f>VLOOKUP($M$17,Data!$A$2:$F$6,2,FALSE)</f>
        <v>Company/Trading Name:</v>
      </c>
      <c r="I19" s="17" t="s">
        <v>42</v>
      </c>
      <c r="J19" s="18"/>
      <c r="K19" s="18"/>
      <c r="L19" s="18"/>
      <c r="M19" s="18"/>
      <c r="N19" s="18"/>
      <c r="O19" s="18"/>
      <c r="P19" s="18"/>
      <c r="Q19" s="18"/>
      <c r="R19" s="18"/>
      <c r="S19" s="19"/>
    </row>
    <row r="20" spans="1:19" x14ac:dyDescent="0.3"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</row>
    <row r="21" spans="1:19" x14ac:dyDescent="0.3">
      <c r="A21" t="str">
        <f>VLOOKUP($M$17,Data!$A$2:$F$6,3,FALSE)</f>
        <v>Company Unique Taxpayer Reference (UTR):</v>
      </c>
      <c r="I21" s="17">
        <v>5851128031</v>
      </c>
      <c r="J21" s="18"/>
      <c r="K21" s="18"/>
      <c r="L21" s="18"/>
      <c r="M21" s="18"/>
      <c r="N21" s="18"/>
      <c r="O21" s="18"/>
      <c r="P21" s="18"/>
      <c r="Q21" s="18"/>
      <c r="R21" s="18"/>
      <c r="S21" s="19"/>
    </row>
    <row r="22" spans="1:19" x14ac:dyDescent="0.3"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</row>
    <row r="23" spans="1:19" x14ac:dyDescent="0.3">
      <c r="A23" t="str">
        <f>VLOOKUP($M$17,Data!$A$2:$F$6,4,FALSE)</f>
        <v>Company Registration Number (CRN):</v>
      </c>
      <c r="I23" s="17">
        <v>696693</v>
      </c>
      <c r="J23" s="18"/>
      <c r="K23" s="18"/>
      <c r="L23" s="18"/>
      <c r="M23" s="18"/>
      <c r="N23" s="18"/>
      <c r="O23" s="18"/>
      <c r="P23" s="18"/>
      <c r="Q23" s="18"/>
      <c r="R23" s="18"/>
      <c r="S23" s="19"/>
    </row>
    <row r="24" spans="1:19" ht="14.25" customHeight="1" x14ac:dyDescent="0.3"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</row>
    <row r="25" spans="1:19" x14ac:dyDescent="0.3">
      <c r="A25" t="str">
        <f>VLOOKUP($M$17,Data!$A$2:$F$6,5,FALSE)</f>
        <v>VAT Registration Number:</v>
      </c>
      <c r="I25" s="17">
        <v>469976605</v>
      </c>
      <c r="J25" s="18"/>
      <c r="K25" s="18"/>
      <c r="L25" s="18"/>
      <c r="M25" s="18"/>
      <c r="N25" s="18"/>
      <c r="O25" s="18"/>
      <c r="P25" s="18"/>
      <c r="Q25" s="18"/>
      <c r="R25" s="18"/>
      <c r="S25" s="19"/>
    </row>
    <row r="26" spans="1:19" x14ac:dyDescent="0.3"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</row>
    <row r="27" spans="1:19" x14ac:dyDescent="0.3">
      <c r="A27">
        <f>VLOOKUP($M$17,Data!$A$2:$F$6,6,FALSE)</f>
        <v>0</v>
      </c>
      <c r="I27" s="17"/>
      <c r="J27" s="18"/>
      <c r="K27" s="18"/>
      <c r="L27" s="18"/>
      <c r="M27" s="18"/>
      <c r="N27" s="18"/>
      <c r="O27" s="18"/>
      <c r="P27" s="18"/>
      <c r="Q27" s="18"/>
      <c r="R27" s="18"/>
      <c r="S27" s="19"/>
    </row>
    <row r="28" spans="1:19" x14ac:dyDescent="0.3"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</row>
    <row r="29" spans="1:19" x14ac:dyDescent="0.3">
      <c r="A29">
        <f>VLOOKUP($M$17,Data!$A$2:$G$6,7,FALSE)</f>
        <v>0</v>
      </c>
      <c r="I29" s="17"/>
      <c r="J29" s="18"/>
      <c r="K29" s="18"/>
      <c r="L29" s="18"/>
      <c r="M29" s="18"/>
      <c r="N29" s="18"/>
      <c r="O29" s="18"/>
      <c r="P29" s="18"/>
      <c r="Q29" s="18"/>
      <c r="R29" s="18"/>
      <c r="S29" s="19"/>
    </row>
    <row r="30" spans="1:19" x14ac:dyDescent="0.3"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</row>
    <row r="31" spans="1:19" x14ac:dyDescent="0.3"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</row>
    <row r="32" spans="1:19" ht="18" x14ac:dyDescent="0.3">
      <c r="A32" s="5" t="s">
        <v>35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</row>
    <row r="33" spans="1:19" x14ac:dyDescent="0.3"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</row>
    <row r="34" spans="1:19" x14ac:dyDescent="0.3">
      <c r="A34" t="s">
        <v>39</v>
      </c>
      <c r="I34" s="17">
        <v>1</v>
      </c>
      <c r="J34" s="18"/>
      <c r="K34" s="18"/>
      <c r="L34" s="18"/>
      <c r="M34" s="18"/>
      <c r="N34" s="18"/>
      <c r="O34" s="18"/>
      <c r="P34" s="18"/>
      <c r="Q34" s="18"/>
      <c r="R34" s="18"/>
      <c r="S34" s="19"/>
    </row>
    <row r="35" spans="1:19" x14ac:dyDescent="0.3">
      <c r="A35" t="s">
        <v>40</v>
      </c>
      <c r="I35" s="17" t="s">
        <v>43</v>
      </c>
      <c r="J35" s="18"/>
      <c r="K35" s="18"/>
      <c r="L35" s="18"/>
      <c r="M35" s="18"/>
      <c r="N35" s="18"/>
      <c r="O35" s="18"/>
      <c r="P35" s="18"/>
      <c r="Q35" s="18"/>
      <c r="R35" s="18"/>
      <c r="S35" s="19"/>
    </row>
    <row r="36" spans="1:19" x14ac:dyDescent="0.3">
      <c r="A36" t="s">
        <v>41</v>
      </c>
      <c r="I36" s="17" t="s">
        <v>44</v>
      </c>
      <c r="J36" s="18"/>
      <c r="K36" s="18"/>
      <c r="L36" s="18"/>
      <c r="M36" s="18"/>
      <c r="N36" s="18"/>
      <c r="O36" s="18"/>
      <c r="P36" s="18"/>
      <c r="Q36" s="18"/>
      <c r="R36" s="18"/>
      <c r="S36" s="19"/>
    </row>
    <row r="37" spans="1:19" x14ac:dyDescent="0.3">
      <c r="A37" t="s">
        <v>37</v>
      </c>
      <c r="I37" s="17" t="s">
        <v>45</v>
      </c>
      <c r="J37" s="18"/>
      <c r="K37" s="18"/>
      <c r="L37" s="18"/>
      <c r="M37" s="18"/>
      <c r="N37" s="18"/>
      <c r="O37" s="18"/>
      <c r="P37" s="18"/>
      <c r="Q37" s="18"/>
      <c r="R37" s="18"/>
      <c r="S37" s="19"/>
    </row>
    <row r="38" spans="1:19" x14ac:dyDescent="0.3">
      <c r="A38" t="s">
        <v>38</v>
      </c>
      <c r="I38" s="13" t="s">
        <v>46</v>
      </c>
      <c r="J38" s="14"/>
      <c r="K38" s="14"/>
      <c r="L38" s="14"/>
      <c r="M38" s="14"/>
      <c r="N38" s="14"/>
      <c r="O38" s="14"/>
      <c r="P38" s="14"/>
      <c r="Q38" s="14"/>
      <c r="R38" s="14"/>
      <c r="S38" s="15"/>
    </row>
    <row r="39" spans="1:19" x14ac:dyDescent="0.3">
      <c r="A39" t="s">
        <v>36</v>
      </c>
      <c r="I39" s="17" t="s">
        <v>47</v>
      </c>
      <c r="J39" s="18"/>
      <c r="K39" s="18"/>
      <c r="L39" s="18"/>
      <c r="M39" s="18"/>
      <c r="N39" s="18"/>
      <c r="O39" s="18"/>
      <c r="P39" s="18"/>
      <c r="Q39" s="18"/>
      <c r="R39" s="18"/>
      <c r="S39" s="19"/>
    </row>
    <row r="40" spans="1:19" x14ac:dyDescent="0.3"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</row>
    <row r="41" spans="1:19" x14ac:dyDescent="0.3"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</row>
    <row r="42" spans="1:19" s="8" customFormat="1" ht="18" x14ac:dyDescent="0.35">
      <c r="A42" s="5" t="s">
        <v>18</v>
      </c>
    </row>
    <row r="43" spans="1:19" x14ac:dyDescent="0.3">
      <c r="A43" s="6"/>
    </row>
    <row r="44" spans="1:19" x14ac:dyDescent="0.3">
      <c r="A44" t="s">
        <v>19</v>
      </c>
      <c r="I44" s="17" t="s">
        <v>48</v>
      </c>
      <c r="J44" s="18"/>
      <c r="K44" s="18"/>
      <c r="L44" s="18"/>
      <c r="M44" s="18"/>
      <c r="N44" s="18"/>
      <c r="O44" s="18"/>
      <c r="P44" s="18"/>
      <c r="Q44" s="18"/>
      <c r="R44" s="18"/>
      <c r="S44" s="19"/>
    </row>
    <row r="45" spans="1:19" x14ac:dyDescent="0.3">
      <c r="A45" s="6"/>
    </row>
    <row r="46" spans="1:19" x14ac:dyDescent="0.3">
      <c r="A46" t="s">
        <v>20</v>
      </c>
      <c r="I46" s="3">
        <v>0</v>
      </c>
      <c r="J46" s="3">
        <v>8</v>
      </c>
      <c r="K46" s="7" t="s">
        <v>3</v>
      </c>
      <c r="L46" s="3">
        <v>7</v>
      </c>
      <c r="M46" s="3">
        <v>1</v>
      </c>
      <c r="N46" s="7" t="s">
        <v>3</v>
      </c>
      <c r="O46" s="3">
        <v>9</v>
      </c>
      <c r="P46" s="3">
        <v>9</v>
      </c>
    </row>
    <row r="47" spans="1:19" x14ac:dyDescent="0.3">
      <c r="I47" s="7"/>
      <c r="J47" s="7"/>
      <c r="K47" s="7"/>
      <c r="L47" s="7"/>
      <c r="M47" s="7"/>
      <c r="N47" s="7"/>
      <c r="O47" s="7"/>
      <c r="P47" s="7"/>
    </row>
    <row r="48" spans="1:19" x14ac:dyDescent="0.3">
      <c r="A48" t="s">
        <v>21</v>
      </c>
      <c r="I48" s="3">
        <v>1</v>
      </c>
      <c r="J48" s="3">
        <v>0</v>
      </c>
      <c r="K48" s="3">
        <v>1</v>
      </c>
      <c r="L48" s="3">
        <v>7</v>
      </c>
      <c r="M48" s="3">
        <v>5</v>
      </c>
      <c r="N48" s="3">
        <v>6</v>
      </c>
      <c r="O48" s="3">
        <v>0</v>
      </c>
      <c r="P48" s="3">
        <v>0</v>
      </c>
    </row>
    <row r="49" spans="1:19" x14ac:dyDescent="0.3">
      <c r="I49" s="7"/>
      <c r="J49" s="7"/>
      <c r="K49" s="7"/>
      <c r="L49" s="7"/>
      <c r="M49" s="7"/>
      <c r="N49" s="7"/>
      <c r="O49" s="7"/>
      <c r="P49" s="7"/>
    </row>
    <row r="50" spans="1:19" ht="18" x14ac:dyDescent="0.3">
      <c r="A50" s="5" t="s">
        <v>25</v>
      </c>
    </row>
    <row r="51" spans="1:19" x14ac:dyDescent="0.3">
      <c r="A51" s="6"/>
    </row>
    <row r="52" spans="1:19" x14ac:dyDescent="0.3">
      <c r="A52" t="s">
        <v>27</v>
      </c>
      <c r="I52" s="17" t="s">
        <v>49</v>
      </c>
      <c r="J52" s="18"/>
      <c r="K52" s="18"/>
      <c r="L52" s="18"/>
      <c r="M52" s="18"/>
      <c r="N52" s="18"/>
      <c r="O52" s="18"/>
      <c r="P52" s="18"/>
      <c r="Q52" s="18"/>
      <c r="R52" s="18"/>
      <c r="S52" s="19"/>
    </row>
    <row r="54" spans="1:19" x14ac:dyDescent="0.3">
      <c r="A54" t="s">
        <v>26</v>
      </c>
      <c r="I54" s="17" t="s">
        <v>49</v>
      </c>
      <c r="J54" s="18"/>
      <c r="K54" s="18"/>
      <c r="L54" s="18"/>
      <c r="M54" s="18"/>
      <c r="N54" s="18"/>
      <c r="O54" s="18"/>
      <c r="P54" s="18"/>
      <c r="Q54" s="18"/>
      <c r="R54" s="18"/>
      <c r="S54" s="19"/>
    </row>
    <row r="55" spans="1:19" x14ac:dyDescent="0.3"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7" spans="1:19" x14ac:dyDescent="0.3">
      <c r="A57" s="9"/>
    </row>
    <row r="58" spans="1:19" x14ac:dyDescent="0.3">
      <c r="A58" s="9"/>
    </row>
  </sheetData>
  <sheetProtection algorithmName="SHA-512" hashValue="Gy44ytiya8x5ThsXWjvSemIj2RXXHHbwpCYY+kG2RDpbgMCucQ/8EuppsBdstOZbQSY9mPP2lJyYz1iiDBnerg==" saltValue="xV1k+HJi7tP7EJj4tM1Cmw==" spinCount="100000" sheet="1" selectLockedCells="1"/>
  <mergeCells count="18">
    <mergeCell ref="I54:S54"/>
    <mergeCell ref="I44:S44"/>
    <mergeCell ref="M17:S17"/>
    <mergeCell ref="I19:S19"/>
    <mergeCell ref="I21:S21"/>
    <mergeCell ref="I23:S23"/>
    <mergeCell ref="I25:S25"/>
    <mergeCell ref="I27:S27"/>
    <mergeCell ref="I10:S10"/>
    <mergeCell ref="I13:S13"/>
    <mergeCell ref="I29:S29"/>
    <mergeCell ref="A15:K15"/>
    <mergeCell ref="I52:S52"/>
    <mergeCell ref="I34:S34"/>
    <mergeCell ref="I35:S35"/>
    <mergeCell ref="I36:S36"/>
    <mergeCell ref="I37:S37"/>
    <mergeCell ref="I39:S39"/>
  </mergeCells>
  <conditionalFormatting sqref="B21">
    <cfRule type="notContainsBlanks" dxfId="1" priority="5">
      <formula>LEN(TRIM(B21))&gt;0</formula>
    </cfRule>
  </conditionalFormatting>
  <conditionalFormatting sqref="B34">
    <cfRule type="notContainsBlanks" dxfId="0" priority="1">
      <formula>LEN(TRIM(B34))&gt;0</formula>
    </cfRule>
  </conditionalFormatting>
  <hyperlinks>
    <hyperlink ref="I10" r:id="rId1" display="mailto:accounts@heronbros.com" xr:uid="{02FDB172-7776-4EAB-B9D7-AEF4905C03F6}"/>
    <hyperlink ref="I13" r:id="rId2" xr:uid="{A985CDD5-D0FF-4B48-AF6E-8F93FF0DE5EF}"/>
  </hyperlinks>
  <pageMargins left="0.70866141732283472" right="0.70866141732283472" top="0.55118110236220474" bottom="0.55118110236220474" header="0.31496062992125984" footer="0.31496062992125984"/>
  <pageSetup paperSize="9" orientation="portrait" r:id="rId3"/>
  <headerFooter>
    <oddHeader>&amp;L&amp;G</oddHeader>
  </headerFooter>
  <drawing r:id="rId4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910C601-73B4-464B-9B10-0537D07103D5}">
          <x14:formula1>
            <xm:f>Data!$A$2:$A$6</xm:f>
          </x14:formula1>
          <xm:sqref>M17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64139-BD05-4574-88ED-AFFC01EDAFF6}">
  <dimension ref="A2:G6"/>
  <sheetViews>
    <sheetView workbookViewId="0">
      <selection activeCell="C14" sqref="C14"/>
    </sheetView>
  </sheetViews>
  <sheetFormatPr defaultRowHeight="14.4" x14ac:dyDescent="0.3"/>
  <cols>
    <col min="1" max="1" width="22.5546875" bestFit="1" customWidth="1"/>
    <col min="2" max="2" width="24.5546875" bestFit="1" customWidth="1"/>
    <col min="3" max="3" width="44.5546875" bestFit="1" customWidth="1"/>
    <col min="4" max="4" width="41.33203125" bestFit="1" customWidth="1"/>
    <col min="5" max="5" width="36.5546875" bestFit="1" customWidth="1"/>
    <col min="6" max="6" width="26.6640625" bestFit="1" customWidth="1"/>
  </cols>
  <sheetData>
    <row r="2" spans="1:7" ht="15.6" x14ac:dyDescent="0.3">
      <c r="A2" s="2" t="s">
        <v>0</v>
      </c>
      <c r="B2" s="2" t="s">
        <v>4</v>
      </c>
      <c r="C2" s="2" t="s">
        <v>8</v>
      </c>
      <c r="D2" s="2" t="s">
        <v>12</v>
      </c>
      <c r="E2" s="1" t="s">
        <v>14</v>
      </c>
      <c r="F2" s="1" t="s">
        <v>16</v>
      </c>
      <c r="G2" s="2" t="s">
        <v>33</v>
      </c>
    </row>
    <row r="3" spans="1:7" ht="15.6" x14ac:dyDescent="0.3">
      <c r="A3" s="2" t="s">
        <v>1</v>
      </c>
      <c r="B3" s="2" t="s">
        <v>5</v>
      </c>
      <c r="C3" s="1" t="s">
        <v>9</v>
      </c>
      <c r="D3" s="1" t="s">
        <v>13</v>
      </c>
      <c r="E3" s="2" t="s">
        <v>33</v>
      </c>
      <c r="F3" s="1"/>
    </row>
    <row r="4" spans="1:7" ht="15.6" x14ac:dyDescent="0.3">
      <c r="A4" s="2" t="s">
        <v>22</v>
      </c>
      <c r="B4" s="2" t="s">
        <v>6</v>
      </c>
      <c r="C4" s="1" t="s">
        <v>10</v>
      </c>
      <c r="D4" s="2" t="s">
        <v>24</v>
      </c>
      <c r="E4" s="1" t="s">
        <v>15</v>
      </c>
      <c r="F4" s="2" t="s">
        <v>33</v>
      </c>
    </row>
    <row r="5" spans="1:7" ht="15.6" x14ac:dyDescent="0.3">
      <c r="A5" s="2" t="s">
        <v>23</v>
      </c>
      <c r="B5" s="2" t="s">
        <v>6</v>
      </c>
      <c r="C5" s="1" t="s">
        <v>10</v>
      </c>
      <c r="D5" s="2" t="s">
        <v>9</v>
      </c>
      <c r="E5" s="1" t="s">
        <v>13</v>
      </c>
      <c r="F5" s="2" t="s">
        <v>33</v>
      </c>
    </row>
    <row r="6" spans="1:7" ht="15.6" x14ac:dyDescent="0.3">
      <c r="A6" s="2" t="s">
        <v>2</v>
      </c>
      <c r="B6" s="2" t="s">
        <v>7</v>
      </c>
      <c r="C6" s="1" t="s">
        <v>11</v>
      </c>
      <c r="D6" s="2" t="s">
        <v>33</v>
      </c>
      <c r="E6" s="1"/>
      <c r="F6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OP9.045 Subcontractors Contract Agreement" ma:contentTypeID="0x0101008869A1E344E68345A46801B27B7A0DD500B0F7989125BE74449F84C97E61CB2032" ma:contentTypeVersion="2" ma:contentTypeDescription="" ma:contentTypeScope="" ma:versionID="c5e76e9b950d6a26c869c6c669fe9825">
  <xsd:schema xmlns:xsd="http://www.w3.org/2001/XMLSchema" xmlns:xs="http://www.w3.org/2001/XMLSchema" xmlns:p="http://schemas.microsoft.com/office/2006/metadata/properties" xmlns:ns2="b03b799b-ec18-4996-90ae-e8f89afc3ded" xmlns:ns3="d2d659ff-ae07-45ac-862d-2e97fd522acd" targetNamespace="http://schemas.microsoft.com/office/2006/metadata/properties" ma:root="true" ma:fieldsID="13aab3cb8f82e81231320ffdc34e085c" ns2:_="" ns3:_="">
    <xsd:import namespace="b03b799b-ec18-4996-90ae-e8f89afc3ded"/>
    <xsd:import namespace="d2d659ff-ae07-45ac-862d-2e97fd522acd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3b799b-ec18-4996-90ae-e8f89afc3ded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8" nillable="true" ma:displayName="Image Tags_0" ma:hidden="true" ma:internalName="lcf76f155ced4ddcb4097134ff3c332f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d659ff-ae07-45ac-862d-2e97fd522acd" elementFormDefault="qualified">
    <xsd:import namespace="http://schemas.microsoft.com/office/2006/documentManagement/types"/>
    <xsd:import namespace="http://schemas.microsoft.com/office/infopath/2007/PartnerControls"/>
    <xsd:element name="TaxCatchAll" ma:index="9" nillable="true" ma:displayName="Taxonomy Catch All Column" ma:hidden="true" ma:list="{10481a4f-fde1-4c60-891a-68816e1af798}" ma:internalName="TaxCatchAll" ma:showField="CatchAllData" ma:web="d2d659ff-ae07-45ac-862d-2e97fd522a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3b799b-ec18-4996-90ae-e8f89afc3ded" xsi:nil="true"/>
    <TaxCatchAll xmlns="d2d659ff-ae07-45ac-862d-2e97fd522ac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6D8ED11-0C96-4059-AFA4-93CB3FE7DD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3b799b-ec18-4996-90ae-e8f89afc3ded"/>
    <ds:schemaRef ds:uri="d2d659ff-ae07-45ac-862d-2e97fd522a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4D7ED36-6985-4F78-9490-654FA3A4D877}">
  <ds:schemaRefs>
    <ds:schemaRef ds:uri="25e0a6ba-054c-42a1-aab5-6eeb7116e2c9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http://purl.org/dc/terms/"/>
    <ds:schemaRef ds:uri="08077ede-3e4d-420e-802c-771570eeac07"/>
    <ds:schemaRef ds:uri="http://schemas.microsoft.com/office/2006/documentManagement/types"/>
    <ds:schemaRef ds:uri="http://www.w3.org/XML/1998/namespace"/>
    <ds:schemaRef ds:uri="http://purl.org/dc/dcmitype/"/>
    <ds:schemaRef ds:uri="b03b799b-ec18-4996-90ae-e8f89afc3ded"/>
    <ds:schemaRef ds:uri="d2d659ff-ae07-45ac-862d-2e97fd522acd"/>
  </ds:schemaRefs>
</ds:datastoreItem>
</file>

<file path=customXml/itemProps3.xml><?xml version="1.0" encoding="utf-8"?>
<ds:datastoreItem xmlns:ds="http://schemas.openxmlformats.org/officeDocument/2006/customXml" ds:itemID="{E8495741-C727-4C13-A675-68B2D01E051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CIS &amp; Bank Details</vt:lpstr>
      <vt:lpstr>Data</vt:lpstr>
      <vt:lpstr>'CIS &amp; Bank Details'!Print_Area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Gribbin</dc:creator>
  <cp:lastModifiedBy>gareth leckey</cp:lastModifiedBy>
  <cp:lastPrinted>2020-02-18T16:54:22Z</cp:lastPrinted>
  <dcterms:created xsi:type="dcterms:W3CDTF">2020-01-29T14:36:24Z</dcterms:created>
  <dcterms:modified xsi:type="dcterms:W3CDTF">2024-08-15T08:16:23Z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0x010100862EC67B74A54046AA57AC1CAEE00462</vt:lpwstr>
  </property>
  <property fmtid="{D5CDD505-2E9C-101B-9397-08002B2CF9AE}" pid="3" name="Jet Reports Function Literals">
    <vt:lpwstr>,	;	,	{	}	[@[{0}]]	1033	2057</vt:lpwstr>
  </property>
  <property fmtid="{D5CDD505-2E9C-101B-9397-08002B2CF9AE}" pid="4" name="MediaServiceImageTags">
    <vt:lpwstr/>
  </property>
</Properties>
</file>