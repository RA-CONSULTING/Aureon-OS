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>
    <definedName name="_xlnm._FilterDatabase" localSheetId="0" hidden="1">'General Ledger'!$A$3:$G$1055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R&amp;A CONSULTING AND BROKERAGE SERVICES LTD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20/06/2024</t>
        </is>
      </c>
      <c r="B4" s="3" t="inlineStr">
        <is>
          <t>1200 - Bank</t>
        </is>
      </c>
      <c r="C4" s="3" t="inlineStr">
        <is>
          <t>Fin: 325 CAVEHILL ROAD,BELFAST</t>
        </is>
      </c>
      <c r="D4" s="3" t="inlineStr"/>
      <c r="E4" s="4" t="n">
        <v>11</v>
      </c>
      <c r="F4" s="4" t="n"/>
      <c r="G4" s="4">
        <f>E4-F4</f>
        <v/>
      </c>
    </row>
    <row r="5">
      <c r="A5" t="inlineStr">
        <is>
          <t>20/06/2024</t>
        </is>
      </c>
      <c r="B5" t="inlineStr">
        <is>
          <t>1200 - Bank</t>
        </is>
      </c>
      <c r="C5" t="inlineStr">
        <is>
          <t>Fin: 325 CAVEHILL ROAD,BELFAST</t>
        </is>
      </c>
      <c r="D5" t="inlineStr"/>
      <c r="E5" s="5" t="n">
        <v>1800</v>
      </c>
      <c r="F5" s="5" t="n"/>
      <c r="G5" s="5">
        <f>G4+E5-F5</f>
        <v/>
      </c>
    </row>
    <row r="6">
      <c r="A6" s="3" t="inlineStr">
        <is>
          <t>20/06/2024</t>
        </is>
      </c>
      <c r="B6" s="3" t="inlineStr">
        <is>
          <t>1200 - Bank</t>
        </is>
      </c>
      <c r="C6" s="3" t="inlineStr">
        <is>
          <t>tina brown tina</t>
        </is>
      </c>
      <c r="D6" s="3" t="inlineStr"/>
      <c r="E6" s="4" t="n"/>
      <c r="F6" s="4" t="n">
        <v>1800</v>
      </c>
      <c r="G6" s="4">
        <f>G5+E6-F6</f>
        <v/>
      </c>
    </row>
    <row r="7">
      <c r="A7" t="inlineStr">
        <is>
          <t>21/06/2024</t>
        </is>
      </c>
      <c r="B7" t="inlineStr">
        <is>
          <t>1200 - Bank</t>
        </is>
      </c>
      <c r="C7" t="inlineStr">
        <is>
          <t>BROWN T Tina</t>
        </is>
      </c>
      <c r="D7" t="inlineStr"/>
      <c r="E7" s="5" t="n">
        <v>405</v>
      </c>
      <c r="F7" s="5" t="n"/>
      <c r="G7" s="5">
        <f>G6+E7-F7</f>
        <v/>
      </c>
    </row>
    <row r="8">
      <c r="A8" s="3" t="inlineStr">
        <is>
          <t>21/06/2024</t>
        </is>
      </c>
      <c r="B8" s="3" t="inlineStr">
        <is>
          <t>1200 - Bank</t>
        </is>
      </c>
      <c r="C8" s="3" t="inlineStr">
        <is>
          <t>Fee for cash loads over 0/month</t>
        </is>
      </c>
      <c r="D8" s="3" t="inlineStr"/>
      <c r="E8" s="4" t="n"/>
      <c r="F8" s="4" t="n">
        <v>3</v>
      </c>
      <c r="G8" s="4">
        <f>G7+E8-F8</f>
        <v/>
      </c>
    </row>
    <row r="9">
      <c r="A9" t="inlineStr">
        <is>
          <t>21/06/2024</t>
        </is>
      </c>
      <c r="B9" t="inlineStr">
        <is>
          <t>1200 - Bank</t>
        </is>
      </c>
      <c r="C9" t="inlineStr">
        <is>
          <t>Fee for cash loads over 0/month</t>
        </is>
      </c>
      <c r="D9" t="inlineStr"/>
      <c r="E9" s="5" t="n"/>
      <c r="F9" s="5" t="n">
        <v>9</v>
      </c>
      <c r="G9" s="5">
        <f>G8+E9-F9</f>
        <v/>
      </c>
    </row>
    <row r="10">
      <c r="A10" s="3" t="inlineStr">
        <is>
          <t>22/06/2024</t>
        </is>
      </c>
      <c r="B10" s="3" t="inlineStr">
        <is>
          <t>1200 - Bank</t>
        </is>
      </c>
      <c r="C10" s="3" t="inlineStr">
        <is>
          <t>BROWN T TINA</t>
        </is>
      </c>
      <c r="D10" s="3" t="inlineStr"/>
      <c r="E10" s="4" t="n">
        <v>50</v>
      </c>
      <c r="F10" s="4" t="n"/>
      <c r="G10" s="4">
        <f>G9+E10-F10</f>
        <v/>
      </c>
    </row>
    <row r="11">
      <c r="A11" t="inlineStr">
        <is>
          <t>22/06/2024</t>
        </is>
      </c>
      <c r="B11" t="inlineStr">
        <is>
          <t>1200 - Bank</t>
        </is>
      </c>
      <c r="C11" t="inlineStr">
        <is>
          <t>Fin: ChangeGroup UK Falls,Belfast, Ant</t>
        </is>
      </c>
      <c r="D11" t="inlineStr"/>
      <c r="E11" s="5" t="n"/>
      <c r="F11" s="5" t="n">
        <v>401</v>
      </c>
      <c r="G11" s="5">
        <f>G10+E11-F11</f>
        <v/>
      </c>
    </row>
    <row r="12">
      <c r="A12" s="3" t="inlineStr">
        <is>
          <t>24/06/2024</t>
        </is>
      </c>
      <c r="B12" s="3" t="inlineStr">
        <is>
          <t>1200 - Bank</t>
        </is>
      </c>
      <c r="C12" s="3" t="inlineStr">
        <is>
          <t>BROWN T TINA</t>
        </is>
      </c>
      <c r="D12" s="3" t="inlineStr"/>
      <c r="E12" s="4" t="n">
        <v>100</v>
      </c>
      <c r="F12" s="4" t="n"/>
      <c r="G12" s="4">
        <f>G11+E12-F12</f>
        <v/>
      </c>
    </row>
    <row r="13">
      <c r="A13" t="inlineStr">
        <is>
          <t>24/06/2024</t>
        </is>
      </c>
      <c r="B13" t="inlineStr">
        <is>
          <t>1200 - Bank</t>
        </is>
      </c>
      <c r="C13" t="inlineStr">
        <is>
          <t>BROWN T TINA</t>
        </is>
      </c>
      <c r="D13" t="inlineStr"/>
      <c r="E13" s="5" t="n">
        <v>510</v>
      </c>
      <c r="F13" s="5" t="n"/>
      <c r="G13" s="5">
        <f>G12+E13-F13</f>
        <v/>
      </c>
    </row>
    <row r="14">
      <c r="A14" s="3" t="inlineStr">
        <is>
          <t>24/06/2024</t>
        </is>
      </c>
      <c r="B14" s="3" t="inlineStr">
        <is>
          <t>1200 - Bank</t>
        </is>
      </c>
      <c r="C14" s="3" t="inlineStr">
        <is>
          <t>BROWN T TINA</t>
        </is>
      </c>
      <c r="D14" s="3" t="inlineStr"/>
      <c r="E14" s="4" t="n">
        <v>80</v>
      </c>
      <c r="F14" s="4" t="n"/>
      <c r="G14" s="4">
        <f>G13+E14-F14</f>
        <v/>
      </c>
    </row>
    <row r="15">
      <c r="A15" t="inlineStr">
        <is>
          <t>24/06/2024</t>
        </is>
      </c>
      <c r="B15" t="inlineStr">
        <is>
          <t>1200 - Bank</t>
        </is>
      </c>
      <c r="C15" t="inlineStr">
        <is>
          <t>Fin: FUNKY MONKEYS,CITYSIDE ,BELFAST BT1</t>
        </is>
      </c>
      <c r="D15" t="inlineStr"/>
      <c r="E15" s="5" t="n"/>
      <c r="F15" s="5" t="n">
        <v>2.5</v>
      </c>
      <c r="G15" s="5">
        <f>G14+E15-F15</f>
        <v/>
      </c>
    </row>
    <row r="16">
      <c r="A16" s="3" t="inlineStr">
        <is>
          <t>24/06/2024</t>
        </is>
      </c>
      <c r="B16" s="3" t="inlineStr">
        <is>
          <t>1200 - Bank</t>
        </is>
      </c>
      <c r="C16" s="3" t="inlineStr">
        <is>
          <t>Fin: FUNKY MONKEYS,CITYSIDE ,BELFAST BT1</t>
        </is>
      </c>
      <c r="D16" s="3" t="inlineStr"/>
      <c r="E16" s="4" t="n"/>
      <c r="F16" s="4" t="n">
        <v>4.1</v>
      </c>
      <c r="G16" s="4">
        <f>G15+E16-F16</f>
        <v/>
      </c>
    </row>
    <row r="17">
      <c r="A17" t="inlineStr">
        <is>
          <t>24/06/2024</t>
        </is>
      </c>
      <c r="B17" t="inlineStr">
        <is>
          <t>1200 - Bank</t>
        </is>
      </c>
      <c r="C17" t="inlineStr">
        <is>
          <t>Fin: FUNKY MONKEYS,CITYSIDE ,BELFAST BT1</t>
        </is>
      </c>
      <c r="D17" t="inlineStr"/>
      <c r="E17" s="5" t="n"/>
      <c r="F17" s="5" t="n">
        <v>6.95</v>
      </c>
      <c r="G17" s="5">
        <f>G16+E17-F17</f>
        <v/>
      </c>
    </row>
    <row r="18">
      <c r="A18" s="3" t="inlineStr">
        <is>
          <t>24/06/2024</t>
        </is>
      </c>
      <c r="B18" s="3" t="inlineStr">
        <is>
          <t>1200 - Bank</t>
        </is>
      </c>
      <c r="C18" s="3" t="inlineStr">
        <is>
          <t>Fin: WINEMARK,470 OLDPARK ROAD,BELFAST</t>
        </is>
      </c>
      <c r="D18" s="3" t="inlineStr"/>
      <c r="E18" s="4" t="n"/>
      <c r="F18" s="4" t="n">
        <v>22.04</v>
      </c>
      <c r="G18" s="4">
        <f>G17+E18-F18</f>
        <v/>
      </c>
    </row>
    <row r="19">
      <c r="A19" t="inlineStr">
        <is>
          <t>24/06/2024</t>
        </is>
      </c>
      <c r="B19" t="inlineStr">
        <is>
          <t>1200 - Bank</t>
        </is>
      </c>
      <c r="C19" t="inlineStr">
        <is>
          <t>Ryan kelly Gary</t>
        </is>
      </c>
      <c r="D19" t="inlineStr"/>
      <c r="E19" s="5" t="n"/>
      <c r="F19" s="5" t="n">
        <v>80</v>
      </c>
      <c r="G19" s="5">
        <f>G18+E19-F19</f>
        <v/>
      </c>
    </row>
    <row r="20">
      <c r="A20" s="3" t="inlineStr">
        <is>
          <t>25/06/2024</t>
        </is>
      </c>
      <c r="B20" s="3" t="inlineStr">
        <is>
          <t>1200 - Bank</t>
        </is>
      </c>
      <c r="C20" s="3" t="inlineStr">
        <is>
          <t>BROWN T TINA</t>
        </is>
      </c>
      <c r="D20" s="3" t="inlineStr"/>
      <c r="E20" s="4" t="n">
        <v>10</v>
      </c>
      <c r="F20" s="4" t="n"/>
      <c r="G20" s="4">
        <f>G19+E20-F20</f>
        <v/>
      </c>
    </row>
    <row r="21">
      <c r="A21" t="inlineStr">
        <is>
          <t>25/06/2024</t>
        </is>
      </c>
      <c r="B21" t="inlineStr">
        <is>
          <t>1200 - Bank</t>
        </is>
      </c>
      <c r="C21" t="inlineStr">
        <is>
          <t>BROWN T TINA</t>
        </is>
      </c>
      <c r="D21" t="inlineStr"/>
      <c r="E21" s="5" t="n">
        <v>163</v>
      </c>
      <c r="F21" s="5" t="n"/>
      <c r="G21" s="5">
        <f>G20+E21-F21</f>
        <v/>
      </c>
    </row>
    <row r="22">
      <c r="A22" s="3" t="inlineStr">
        <is>
          <t>25/06/2024</t>
        </is>
      </c>
      <c r="B22" s="3" t="inlineStr">
        <is>
          <t>1200 - Bank</t>
        </is>
      </c>
      <c r="C22" s="3" t="inlineStr">
        <is>
          <t>BROWN T TINA</t>
        </is>
      </c>
      <c r="D22" s="3" t="inlineStr"/>
      <c r="E22" s="4" t="n">
        <v>20</v>
      </c>
      <c r="F22" s="4" t="n"/>
      <c r="G22" s="4">
        <f>G21+E22-F22</f>
        <v/>
      </c>
    </row>
    <row r="23">
      <c r="A23" t="inlineStr">
        <is>
          <t>25/06/2024</t>
        </is>
      </c>
      <c r="B23" t="inlineStr">
        <is>
          <t>1200 - Bank</t>
        </is>
      </c>
      <c r="C23" t="inlineStr">
        <is>
          <t>BROWN T TINA</t>
        </is>
      </c>
      <c r="D23" t="inlineStr"/>
      <c r="E23" s="5" t="n">
        <v>20</v>
      </c>
      <c r="F23" s="5" t="n"/>
      <c r="G23" s="5">
        <f>G22+E23-F23</f>
        <v/>
      </c>
    </row>
    <row r="24">
      <c r="A24" s="3" t="inlineStr">
        <is>
          <t>25/06/2024</t>
        </is>
      </c>
      <c r="B24" s="3" t="inlineStr">
        <is>
          <t>1200 - Bank</t>
        </is>
      </c>
      <c r="C24" s="3" t="inlineStr">
        <is>
          <t>BROWN T TINA</t>
        </is>
      </c>
      <c r="D24" s="3" t="inlineStr"/>
      <c r="E24" s="4" t="n">
        <v>20</v>
      </c>
      <c r="F24" s="4" t="n"/>
      <c r="G24" s="4">
        <f>G23+E24-F24</f>
        <v/>
      </c>
    </row>
    <row r="25">
      <c r="A25" t="inlineStr">
        <is>
          <t>25/06/2024</t>
        </is>
      </c>
      <c r="B25" t="inlineStr">
        <is>
          <t>1200 - Bank</t>
        </is>
      </c>
      <c r="C25" t="inlineStr">
        <is>
          <t>Fee: Card Management</t>
        </is>
      </c>
      <c r="D25" t="inlineStr"/>
      <c r="E25" s="5" t="n"/>
      <c r="F25" s="5" t="n">
        <v>9</v>
      </c>
      <c r="G25" s="5">
        <f>G24+E25-F25</f>
        <v/>
      </c>
    </row>
    <row r="26">
      <c r="A26" s="3" t="inlineStr">
        <is>
          <t>25/06/2024</t>
        </is>
      </c>
      <c r="B26" s="3" t="inlineStr">
        <is>
          <t>1200 - Bank</t>
        </is>
      </c>
      <c r="C26" s="3" t="inlineStr">
        <is>
          <t>Fin: DEPARTMENT OF FOREIGN,76-78 H,DUBLI 100 EUR XR 1.180916</t>
        </is>
      </c>
      <c r="D26" s="3" t="inlineStr"/>
      <c r="E26" s="4" t="n"/>
      <c r="F26" s="4" t="n">
        <v>84.68000000000001</v>
      </c>
      <c r="G26" s="4">
        <f>G25+E26-F26</f>
        <v/>
      </c>
    </row>
    <row r="27">
      <c r="A27" t="inlineStr">
        <is>
          <t>25/06/2024</t>
        </is>
      </c>
      <c r="B27" t="inlineStr">
        <is>
          <t>1200 - Bank</t>
        </is>
      </c>
      <c r="C27" t="inlineStr">
        <is>
          <t>Fin: LANARK WAY FILLING STA,BELFAST</t>
        </is>
      </c>
      <c r="D27" t="inlineStr"/>
      <c r="E27" s="5" t="n"/>
      <c r="F27" s="5" t="n">
        <v>22.83</v>
      </c>
      <c r="G27" s="5">
        <f>G26+E27-F27</f>
        <v/>
      </c>
    </row>
    <row r="28">
      <c r="A28" s="3" t="inlineStr">
        <is>
          <t>25/06/2024</t>
        </is>
      </c>
      <c r="B28" s="3" t="inlineStr">
        <is>
          <t>1200 - Bank</t>
        </is>
      </c>
      <c r="C28" s="3" t="inlineStr">
        <is>
          <t>Fin: MAXOL EDENDERRY SSTN,298 CRU,BELFAS</t>
        </is>
      </c>
      <c r="D28" s="3" t="inlineStr"/>
      <c r="E28" s="4" t="n"/>
      <c r="F28" s="4" t="n">
        <v>2.15</v>
      </c>
      <c r="G28" s="4">
        <f>G27+E28-F28</f>
        <v/>
      </c>
    </row>
    <row r="29">
      <c r="A29" t="inlineStr">
        <is>
          <t>25/06/2024</t>
        </is>
      </c>
      <c r="B29" t="inlineStr">
        <is>
          <t>1200 - Bank</t>
        </is>
      </c>
      <c r="C29" t="inlineStr">
        <is>
          <t>Fin: Notemachine ATM,Notemachine,BT13 3B</t>
        </is>
      </c>
      <c r="D29" t="inlineStr"/>
      <c r="E29" s="5" t="n"/>
      <c r="F29" s="5" t="n">
        <v>241.75</v>
      </c>
      <c r="G29" s="5">
        <f>G28+E29-F29</f>
        <v/>
      </c>
    </row>
    <row r="30">
      <c r="A30" s="3" t="inlineStr">
        <is>
          <t>25/06/2024</t>
        </is>
      </c>
      <c r="B30" s="3" t="inlineStr">
        <is>
          <t>1200 - Bank</t>
        </is>
      </c>
      <c r="C30" s="3" t="inlineStr">
        <is>
          <t>Fin: Notemachine ATM,Notemachine,BT13 3B</t>
        </is>
      </c>
      <c r="D30" s="3" t="inlineStr"/>
      <c r="E30" s="4" t="n"/>
      <c r="F30" s="4" t="n">
        <v>241.75</v>
      </c>
      <c r="G30" s="4">
        <f>G29+E30-F30</f>
        <v/>
      </c>
    </row>
    <row r="31">
      <c r="A31" t="inlineStr">
        <is>
          <t>25/06/2024</t>
        </is>
      </c>
      <c r="B31" t="inlineStr">
        <is>
          <t>1200 - Bank</t>
        </is>
      </c>
      <c r="C31" t="inlineStr">
        <is>
          <t>Fin: PPOINT_*Hugh's Confect,Belfast</t>
        </is>
      </c>
      <c r="D31" t="inlineStr"/>
      <c r="E31" s="5" t="n"/>
      <c r="F31" s="5" t="n">
        <v>2.8</v>
      </c>
      <c r="G31" s="5">
        <f>G30+E31-F31</f>
        <v/>
      </c>
    </row>
    <row r="32">
      <c r="A32" s="3" t="inlineStr">
        <is>
          <t>26/06/2024</t>
        </is>
      </c>
      <c r="B32" s="3" t="inlineStr">
        <is>
          <t>1200 - Bank</t>
        </is>
      </c>
      <c r="C32" s="3" t="inlineStr">
        <is>
          <t>BROWN T TINA</t>
        </is>
      </c>
      <c r="D32" s="3" t="inlineStr"/>
      <c r="E32" s="4" t="n">
        <v>20</v>
      </c>
      <c r="F32" s="4" t="n"/>
      <c r="G32" s="4">
        <f>G31+E32-F32</f>
        <v/>
      </c>
    </row>
    <row r="33">
      <c r="A33" t="inlineStr">
        <is>
          <t>26/06/2024</t>
        </is>
      </c>
      <c r="B33" t="inlineStr">
        <is>
          <t>1200 - Bank</t>
        </is>
      </c>
      <c r="C33" t="inlineStr">
        <is>
          <t>BROWN T TINA</t>
        </is>
      </c>
      <c r="D33" t="inlineStr"/>
      <c r="E33" s="5" t="n">
        <v>35</v>
      </c>
      <c r="F33" s="5" t="n"/>
      <c r="G33" s="5">
        <f>G32+E33-F33</f>
        <v/>
      </c>
    </row>
    <row r="34">
      <c r="A34" s="3" t="inlineStr">
        <is>
          <t>26/06/2024</t>
        </is>
      </c>
      <c r="B34" s="3" t="inlineStr">
        <is>
          <t>1200 - Bank</t>
        </is>
      </c>
      <c r="C34" s="3" t="inlineStr">
        <is>
          <t>BROWN T TINA</t>
        </is>
      </c>
      <c r="D34" s="3" t="inlineStr"/>
      <c r="E34" s="4" t="n">
        <v>40</v>
      </c>
      <c r="F34" s="4" t="n"/>
      <c r="G34" s="4">
        <f>G33+E34-F34</f>
        <v/>
      </c>
    </row>
    <row r="35">
      <c r="A35" t="inlineStr">
        <is>
          <t>26/06/2024</t>
        </is>
      </c>
      <c r="B35" t="inlineStr">
        <is>
          <t>1200 - Bank</t>
        </is>
      </c>
      <c r="C35" t="inlineStr">
        <is>
          <t>BROWN T TINA</t>
        </is>
      </c>
      <c r="D35" t="inlineStr"/>
      <c r="E35" s="5" t="n">
        <v>5</v>
      </c>
      <c r="F35" s="5" t="n"/>
      <c r="G35" s="5">
        <f>G34+E35-F35</f>
        <v/>
      </c>
    </row>
    <row r="36">
      <c r="A36" s="3" t="inlineStr">
        <is>
          <t>26/06/2024</t>
        </is>
      </c>
      <c r="B36" s="3" t="inlineStr">
        <is>
          <t>1200 - Bank</t>
        </is>
      </c>
      <c r="C36" s="3" t="inlineStr">
        <is>
          <t>Fin: CAVEHILL RETAIL LTD,325 CAVE,BELFAS</t>
        </is>
      </c>
      <c r="D36" s="3" t="inlineStr"/>
      <c r="E36" s="4" t="n"/>
      <c r="F36" s="4" t="n">
        <v>11.79</v>
      </c>
      <c r="G36" s="4">
        <f>G35+E36-F36</f>
        <v/>
      </c>
    </row>
    <row r="37">
      <c r="A37" t="inlineStr">
        <is>
          <t>26/06/2024</t>
        </is>
      </c>
      <c r="B37" t="inlineStr">
        <is>
          <t>1200 - Bank</t>
        </is>
      </c>
      <c r="C37" t="inlineStr">
        <is>
          <t>Fin: E01604100000000,MCPEAKES 1 S,BELFAS</t>
        </is>
      </c>
      <c r="D37" t="inlineStr"/>
      <c r="E37" s="5" t="n"/>
      <c r="F37" s="5" t="n">
        <v>151.99</v>
      </c>
      <c r="G37" s="5">
        <f>G36+E37-F37</f>
        <v/>
      </c>
    </row>
    <row r="38">
      <c r="A38" s="3" t="inlineStr">
        <is>
          <t>26/06/2024</t>
        </is>
      </c>
      <c r="B38" s="3" t="inlineStr">
        <is>
          <t>1200 - Bank</t>
        </is>
      </c>
      <c r="C38" s="3" t="inlineStr">
        <is>
          <t>Fin: NEXT RETAIL LTD,46-50 AB,NEWTONABBE</t>
        </is>
      </c>
      <c r="D38" s="3" t="inlineStr"/>
      <c r="E38" s="4" t="n"/>
      <c r="F38" s="4" t="n">
        <v>12</v>
      </c>
      <c r="G38" s="4">
        <f>G37+E38-F38</f>
        <v/>
      </c>
    </row>
    <row r="39">
      <c r="A39" t="inlineStr">
        <is>
          <t>26/06/2024</t>
        </is>
      </c>
      <c r="B39" t="inlineStr">
        <is>
          <t>1200 - Bank</t>
        </is>
      </c>
      <c r="C39" t="inlineStr">
        <is>
          <t>Fin: NEXT RETAIL LTD,46-50 AB,NEWTONABBE</t>
        </is>
      </c>
      <c r="D39" t="inlineStr"/>
      <c r="E39" s="5" t="n"/>
      <c r="F39" s="5" t="n">
        <v>14</v>
      </c>
      <c r="G39" s="5">
        <f>G38+E39-F39</f>
        <v/>
      </c>
    </row>
    <row r="40">
      <c r="A40" s="3" t="inlineStr">
        <is>
          <t>26/06/2024</t>
        </is>
      </c>
      <c r="B40" s="3" t="inlineStr">
        <is>
          <t>1200 - Bank</t>
        </is>
      </c>
      <c r="C40" s="3" t="inlineStr">
        <is>
          <t>Fin: Q PARK VICTORIA SQUARE,BELFAST</t>
        </is>
      </c>
      <c r="D40" s="3" t="inlineStr"/>
      <c r="E40" s="4" t="n"/>
      <c r="F40" s="4" t="n">
        <v>11.6</v>
      </c>
      <c r="G40" s="4">
        <f>G39+E40-F40</f>
        <v/>
      </c>
    </row>
    <row r="41">
      <c r="A41" t="inlineStr">
        <is>
          <t>26/06/2024</t>
        </is>
      </c>
      <c r="B41" t="inlineStr">
        <is>
          <t>1200 - Bank</t>
        </is>
      </c>
      <c r="C41" t="inlineStr">
        <is>
          <t>Fin: ROSSIS ICE CREAM,York Street,BELFAS</t>
        </is>
      </c>
      <c r="D41" t="inlineStr"/>
      <c r="E41" s="5" t="n"/>
      <c r="F41" s="5" t="n">
        <v>7.15</v>
      </c>
      <c r="G41" s="5">
        <f>G40+E41-F41</f>
        <v/>
      </c>
    </row>
    <row r="42">
      <c r="A42" s="3" t="inlineStr">
        <is>
          <t>26/06/2024</t>
        </is>
      </c>
      <c r="B42" s="3" t="inlineStr">
        <is>
          <t>1200 - Bank</t>
        </is>
      </c>
      <c r="C42" s="3" t="inlineStr">
        <is>
          <t>Fin: SAINSBURYS SUPERMA,KENNEDY C,BELFAS</t>
        </is>
      </c>
      <c r="D42" s="3" t="inlineStr"/>
      <c r="E42" s="4" t="n"/>
      <c r="F42" s="4" t="n">
        <v>10</v>
      </c>
      <c r="G42" s="4">
        <f>G41+E42-F42</f>
        <v/>
      </c>
    </row>
    <row r="43">
      <c r="A43" t="inlineStr">
        <is>
          <t>27/06/2024</t>
        </is>
      </c>
      <c r="B43" t="inlineStr">
        <is>
          <t>1200 - Bank</t>
        </is>
      </c>
      <c r="C43" t="inlineStr">
        <is>
          <t>Fin: AMZ*Marketing Svcs,AMS.AMAZON.CO</t>
        </is>
      </c>
      <c r="D43" t="inlineStr"/>
      <c r="E43" s="5" t="n"/>
      <c r="F43" s="5" t="n">
        <v>1.27</v>
      </c>
      <c r="G43" s="5">
        <f>G42+E43-F43</f>
        <v/>
      </c>
    </row>
    <row r="44">
      <c r="A44" s="3" t="inlineStr">
        <is>
          <t>27/06/2024</t>
        </is>
      </c>
      <c r="B44" s="3" t="inlineStr">
        <is>
          <t>1200 - Bank</t>
        </is>
      </c>
      <c r="C44" s="3" t="inlineStr">
        <is>
          <t>Fin: ENUK0481,CRUMLIN ROAD,BELFAST</t>
        </is>
      </c>
      <c r="D44" s="3" t="inlineStr"/>
      <c r="E44" s="4" t="n"/>
      <c r="F44" s="4" t="n">
        <v>40</v>
      </c>
      <c r="G44" s="4">
        <f>G43+E44-F44</f>
        <v/>
      </c>
    </row>
    <row r="45">
      <c r="A45" t="inlineStr">
        <is>
          <t>27/06/2024</t>
        </is>
      </c>
      <c r="B45" t="inlineStr">
        <is>
          <t>1200 - Bank</t>
        </is>
      </c>
      <c r="C45" t="inlineStr">
        <is>
          <t>Fin: MAXOL EDENDERRY SSTN,298 CRU,BELFAS</t>
        </is>
      </c>
      <c r="D45" t="inlineStr"/>
      <c r="E45" s="5" t="n"/>
      <c r="F45" s="5" t="n">
        <v>3.59</v>
      </c>
      <c r="G45" s="5">
        <f>G44+E45-F45</f>
        <v/>
      </c>
    </row>
    <row r="46">
      <c r="A46" s="3" t="inlineStr">
        <is>
          <t>27/06/2024</t>
        </is>
      </c>
      <c r="B46" s="3" t="inlineStr">
        <is>
          <t>1200 - Bank</t>
        </is>
      </c>
      <c r="C46" s="3" t="inlineStr">
        <is>
          <t>Fin: NICHOLL AUTO 365 NUTTS,CRUMLIN</t>
        </is>
      </c>
      <c r="D46" s="3" t="inlineStr"/>
      <c r="E46" s="4" t="n"/>
      <c r="F46" s="4" t="n">
        <v>10</v>
      </c>
      <c r="G46" s="4">
        <f>G45+E46-F46</f>
        <v/>
      </c>
    </row>
    <row r="47">
      <c r="A47" t="inlineStr">
        <is>
          <t>27/06/2024</t>
        </is>
      </c>
      <c r="B47" t="inlineStr">
        <is>
          <t>1200 - Bank</t>
        </is>
      </c>
      <c r="C47" t="inlineStr">
        <is>
          <t>Fin: Notemachine ATM,Notemachine,BT13 3B</t>
        </is>
      </c>
      <c r="D47" t="inlineStr"/>
      <c r="E47" s="5" t="n"/>
      <c r="F47" s="5" t="n">
        <v>41.75</v>
      </c>
      <c r="G47" s="5">
        <f>G46+E47-F47</f>
        <v/>
      </c>
    </row>
    <row r="48">
      <c r="A48" s="3" t="inlineStr">
        <is>
          <t>28/06/2024</t>
        </is>
      </c>
      <c r="B48" s="3" t="inlineStr">
        <is>
          <t>1200 - Bank</t>
        </is>
      </c>
      <c r="C48" s="3" t="inlineStr">
        <is>
          <t>BROWN T TINA</t>
        </is>
      </c>
      <c r="D48" s="3" t="inlineStr"/>
      <c r="E48" s="4" t="n">
        <v>500</v>
      </c>
      <c r="F48" s="4" t="n"/>
      <c r="G48" s="4">
        <f>G47+E48-F48</f>
        <v/>
      </c>
    </row>
    <row r="49">
      <c r="A49" t="inlineStr">
        <is>
          <t>28/06/2024</t>
        </is>
      </c>
      <c r="B49" t="inlineStr">
        <is>
          <t>1200 - Bank</t>
        </is>
      </c>
      <c r="C49" t="inlineStr">
        <is>
          <t>Fin: MCDONALDS 1674,BALLYGOMARTIN,BELFAS</t>
        </is>
      </c>
      <c r="D49" t="inlineStr"/>
      <c r="E49" s="5" t="n"/>
      <c r="F49" s="5" t="n">
        <v>19.15</v>
      </c>
      <c r="G49" s="5">
        <f>G48+E49-F49</f>
        <v/>
      </c>
    </row>
    <row r="50">
      <c r="A50" s="3" t="inlineStr">
        <is>
          <t>29/06/2024</t>
        </is>
      </c>
      <c r="B50" s="3" t="inlineStr">
        <is>
          <t>1200 - Bank</t>
        </is>
      </c>
      <c r="C50" s="3" t="inlineStr">
        <is>
          <t>BROWN T TINA</t>
        </is>
      </c>
      <c r="D50" s="3" t="inlineStr"/>
      <c r="E50" s="4" t="n">
        <v>20</v>
      </c>
      <c r="F50" s="4" t="n"/>
      <c r="G50" s="4">
        <f>G49+E50-F50</f>
        <v/>
      </c>
    </row>
    <row r="51">
      <c r="A51" t="inlineStr">
        <is>
          <t>29/06/2024</t>
        </is>
      </c>
      <c r="B51" t="inlineStr">
        <is>
          <t>1200 - Bank</t>
        </is>
      </c>
      <c r="C51" t="inlineStr">
        <is>
          <t>BROWN T TINA</t>
        </is>
      </c>
      <c r="D51" t="inlineStr"/>
      <c r="E51" s="5" t="n">
        <v>250</v>
      </c>
      <c r="F51" s="5" t="n"/>
      <c r="G51" s="5">
        <f>G50+E51-F51</f>
        <v/>
      </c>
    </row>
    <row r="52">
      <c r="A52" s="3" t="inlineStr">
        <is>
          <t>29/06/2024</t>
        </is>
      </c>
      <c r="B52" s="3" t="inlineStr">
        <is>
          <t>1200 - Bank</t>
        </is>
      </c>
      <c r="C52" s="3" t="inlineStr">
        <is>
          <t>BROWN T TINA</t>
        </is>
      </c>
      <c r="D52" s="3" t="inlineStr"/>
      <c r="E52" s="4" t="n">
        <v>40</v>
      </c>
      <c r="F52" s="4" t="n"/>
      <c r="G52" s="4">
        <f>G51+E52-F52</f>
        <v/>
      </c>
    </row>
    <row r="53">
      <c r="A53" t="inlineStr">
        <is>
          <t>29/06/2024</t>
        </is>
      </c>
      <c r="B53" t="inlineStr">
        <is>
          <t>1200 - Bank</t>
        </is>
      </c>
      <c r="C53" t="inlineStr">
        <is>
          <t>BROWN T TINA</t>
        </is>
      </c>
      <c r="D53" t="inlineStr"/>
      <c r="E53" s="5" t="n">
        <v>40</v>
      </c>
      <c r="F53" s="5" t="n"/>
      <c r="G53" s="5">
        <f>G52+E53-F53</f>
        <v/>
      </c>
    </row>
    <row r="54">
      <c r="A54" s="3" t="inlineStr">
        <is>
          <t>29/06/2024</t>
        </is>
      </c>
      <c r="B54" s="3" t="inlineStr">
        <is>
          <t>1200 - Bank</t>
        </is>
      </c>
      <c r="C54" s="3" t="inlineStr">
        <is>
          <t>BROWN T TINA</t>
        </is>
      </c>
      <c r="D54" s="3" t="inlineStr"/>
      <c r="E54" s="4" t="n">
        <v>5</v>
      </c>
      <c r="F54" s="4" t="n"/>
      <c r="G54" s="4">
        <f>G53+E54-F54</f>
        <v/>
      </c>
    </row>
    <row r="55">
      <c r="A55" t="inlineStr">
        <is>
          <t>29/06/2024</t>
        </is>
      </c>
      <c r="B55" t="inlineStr">
        <is>
          <t>1200 - Bank</t>
        </is>
      </c>
      <c r="C55" t="inlineStr">
        <is>
          <t>Fin: ChangeGroup UK Blacks,111-12,Belfas</t>
        </is>
      </c>
      <c r="D55" t="inlineStr"/>
      <c r="E55" s="5" t="n"/>
      <c r="F55" s="5" t="n">
        <v>500</v>
      </c>
      <c r="G55" s="5">
        <f>G54+E55-F55</f>
        <v/>
      </c>
    </row>
    <row r="56">
      <c r="A56" s="3" t="inlineStr">
        <is>
          <t>30/06/2024</t>
        </is>
      </c>
      <c r="B56" s="3" t="inlineStr">
        <is>
          <t>1200 - Bank</t>
        </is>
      </c>
      <c r="C56" s="3" t="inlineStr">
        <is>
          <t>BROWN T TINA</t>
        </is>
      </c>
      <c r="D56" s="3" t="inlineStr"/>
      <c r="E56" s="4" t="n">
        <v>300</v>
      </c>
      <c r="F56" s="4" t="n"/>
      <c r="G56" s="4">
        <f>G55+E56-F56</f>
        <v/>
      </c>
    </row>
    <row r="57">
      <c r="A57" t="inlineStr">
        <is>
          <t>01/07/2024</t>
        </is>
      </c>
      <c r="B57" t="inlineStr">
        <is>
          <t>1200 - Bank</t>
        </is>
      </c>
      <c r="C57" t="inlineStr">
        <is>
          <t>BROWN T TINA</t>
        </is>
      </c>
      <c r="D57" t="inlineStr"/>
      <c r="E57" s="5" t="n">
        <v>10</v>
      </c>
      <c r="F57" s="5" t="n"/>
      <c r="G57" s="5">
        <f>G56+E57-F57</f>
        <v/>
      </c>
    </row>
    <row r="58">
      <c r="A58" s="3" t="inlineStr">
        <is>
          <t>01/07/2024</t>
        </is>
      </c>
      <c r="B58" s="3" t="inlineStr">
        <is>
          <t>1200 - Bank</t>
        </is>
      </c>
      <c r="C58" s="3" t="inlineStr">
        <is>
          <t>BROWN T TINA</t>
        </is>
      </c>
      <c r="D58" s="3" t="inlineStr"/>
      <c r="E58" s="4" t="n">
        <v>500</v>
      </c>
      <c r="F58" s="4" t="n"/>
      <c r="G58" s="4">
        <f>G57+E58-F58</f>
        <v/>
      </c>
    </row>
    <row r="59">
      <c r="A59" t="inlineStr">
        <is>
          <t>01/07/2024</t>
        </is>
      </c>
      <c r="B59" t="inlineStr">
        <is>
          <t>1200 - Bank</t>
        </is>
      </c>
      <c r="C59" t="inlineStr">
        <is>
          <t>Fin: APPLEGREEN HILLSBOROUG,HILLSBOROUGH</t>
        </is>
      </c>
      <c r="D59" t="inlineStr"/>
      <c r="E59" s="5" t="n"/>
      <c r="F59" s="5" t="n">
        <v>40.09</v>
      </c>
      <c r="G59" s="5">
        <f>G58+E59-F59</f>
        <v/>
      </c>
    </row>
    <row r="60">
      <c r="A60" s="3" t="inlineStr">
        <is>
          <t>01/07/2024</t>
        </is>
      </c>
      <c r="B60" s="3" t="inlineStr">
        <is>
          <t>1200 - Bank</t>
        </is>
      </c>
      <c r="C60" s="3" t="inlineStr">
        <is>
          <t>Fin: Airtastic Newtownabbey,Belfast</t>
        </is>
      </c>
      <c r="D60" s="3" t="inlineStr"/>
      <c r="E60" s="4" t="n"/>
      <c r="F60" s="4" t="n">
        <v>24.1</v>
      </c>
      <c r="G60" s="4">
        <f>G59+E60-F60</f>
        <v/>
      </c>
    </row>
    <row r="61">
      <c r="A61" t="inlineStr">
        <is>
          <t>01/07/2024</t>
        </is>
      </c>
      <c r="B61" t="inlineStr">
        <is>
          <t>1200 - Bank</t>
        </is>
      </c>
      <c r="C61" t="inlineStr">
        <is>
          <t>Fin: Airtastic Newtownabbey,Belfast</t>
        </is>
      </c>
      <c r="D61" t="inlineStr"/>
      <c r="E61" s="5" t="n"/>
      <c r="F61" s="5" t="n">
        <v>25.95</v>
      </c>
      <c r="G61" s="5">
        <f>G60+E61-F61</f>
        <v/>
      </c>
    </row>
    <row r="62">
      <c r="A62" s="3" t="inlineStr">
        <is>
          <t>01/07/2024</t>
        </is>
      </c>
      <c r="B62" s="3" t="inlineStr">
        <is>
          <t>1200 - Bank</t>
        </is>
      </c>
      <c r="C62" s="3" t="inlineStr">
        <is>
          <t>Fin: CO-OP GROUP 140006,Old Park Road</t>
        </is>
      </c>
      <c r="D62" s="3" t="inlineStr"/>
      <c r="E62" s="4" t="n"/>
      <c r="F62" s="4" t="n">
        <v>2</v>
      </c>
      <c r="G62" s="4">
        <f>G61+E62-F62</f>
        <v/>
      </c>
    </row>
    <row r="63">
      <c r="A63" t="inlineStr">
        <is>
          <t>01/07/2024</t>
        </is>
      </c>
      <c r="B63" t="inlineStr">
        <is>
          <t>1200 - Bank</t>
        </is>
      </c>
      <c r="C63" t="inlineStr">
        <is>
          <t>Fin: ChangeGroup UK Falls,Belfast, Ant</t>
        </is>
      </c>
      <c r="D63" t="inlineStr"/>
      <c r="E63" s="5" t="n"/>
      <c r="F63" s="5" t="n">
        <v>61</v>
      </c>
      <c r="G63" s="5">
        <f>G62+E63-F63</f>
        <v/>
      </c>
    </row>
    <row r="64">
      <c r="A64" s="3" t="inlineStr">
        <is>
          <t>01/07/2024</t>
        </is>
      </c>
      <c r="B64" s="3" t="inlineStr">
        <is>
          <t>1200 - Bank</t>
        </is>
      </c>
      <c r="C64" s="3" t="inlineStr">
        <is>
          <t>Fin: Chill,311 Cavehill Road,Belfast</t>
        </is>
      </c>
      <c r="D64" s="3" t="inlineStr"/>
      <c r="E64" s="4" t="n"/>
      <c r="F64" s="4" t="n">
        <v>2.65</v>
      </c>
      <c r="G64" s="4">
        <f>G63+E64-F64</f>
        <v/>
      </c>
    </row>
    <row r="65">
      <c r="A65" t="inlineStr">
        <is>
          <t>01/07/2024</t>
        </is>
      </c>
      <c r="B65" t="inlineStr">
        <is>
          <t>1200 - Bank</t>
        </is>
      </c>
      <c r="C65" t="inlineStr">
        <is>
          <t>Fin: Chill,311 Cavehill Road,Belfast</t>
        </is>
      </c>
      <c r="D65" t="inlineStr"/>
      <c r="E65" s="5" t="n"/>
      <c r="F65" s="5" t="n">
        <v>28.45</v>
      </c>
      <c r="G65" s="5">
        <f>G64+E65-F65</f>
        <v/>
      </c>
    </row>
    <row r="66">
      <c r="A66" s="3" t="inlineStr">
        <is>
          <t>01/07/2024</t>
        </is>
      </c>
      <c r="B66" s="3" t="inlineStr">
        <is>
          <t>1200 - Bank</t>
        </is>
      </c>
      <c r="C66" s="3" t="inlineStr">
        <is>
          <t>Fin: DUBLIN PORT TUNNEL,DUBLIN POR,DUBLI 3.50 EUR XR 1.178451</t>
        </is>
      </c>
      <c r="D66" s="3" t="inlineStr"/>
      <c r="E66" s="4" t="n"/>
      <c r="F66" s="4" t="n">
        <v>2.97</v>
      </c>
      <c r="G66" s="4">
        <f>G65+E66-F66</f>
        <v/>
      </c>
    </row>
    <row r="67">
      <c r="A67" t="inlineStr">
        <is>
          <t>01/07/2024</t>
        </is>
      </c>
      <c r="B67" t="inlineStr">
        <is>
          <t>1200 - Bank</t>
        </is>
      </c>
      <c r="C67" t="inlineStr">
        <is>
          <t>Fin: DUBLIN PORT TUNNEL,DUBLIN POR,DUBLI 3.50 EUR XR 1.178451</t>
        </is>
      </c>
      <c r="D67" t="inlineStr"/>
      <c r="E67" s="5" t="n"/>
      <c r="F67" s="5" t="n">
        <v>2.97</v>
      </c>
      <c r="G67" s="5">
        <f>G66+E67-F67</f>
        <v/>
      </c>
    </row>
    <row r="68">
      <c r="A68" s="3" t="inlineStr">
        <is>
          <t>01/07/2024</t>
        </is>
      </c>
      <c r="B68" s="3" t="inlineStr">
        <is>
          <t>1200 - Bank</t>
        </is>
      </c>
      <c r="C68" s="3" t="inlineStr">
        <is>
          <t>Fin: E01633500000000,WINEMARK ARD,BELFAS</t>
        </is>
      </c>
      <c r="D68" s="3" t="inlineStr"/>
      <c r="E68" s="4" t="n"/>
      <c r="F68" s="4" t="n">
        <v>10</v>
      </c>
      <c r="G68" s="4">
        <f>G67+E68-F68</f>
        <v/>
      </c>
    </row>
    <row r="69">
      <c r="A69" t="inlineStr">
        <is>
          <t>01/07/2024</t>
        </is>
      </c>
      <c r="B69" t="inlineStr">
        <is>
          <t>1200 - Bank</t>
        </is>
      </c>
      <c r="C69" t="inlineStr">
        <is>
          <t>Fin: Kolormaster,535E Falls Road,Belfast</t>
        </is>
      </c>
      <c r="D69" t="inlineStr"/>
      <c r="E69" s="5" t="n"/>
      <c r="F69" s="5" t="n">
        <v>9</v>
      </c>
      <c r="G69" s="5">
        <f>G68+E69-F69</f>
        <v/>
      </c>
    </row>
    <row r="70">
      <c r="A70" s="3" t="inlineStr">
        <is>
          <t>01/07/2024</t>
        </is>
      </c>
      <c r="B70" s="3" t="inlineStr">
        <is>
          <t>1200 - Bank</t>
        </is>
      </c>
      <c r="C70" s="3" t="inlineStr">
        <is>
          <t>Fin: NORTHLINK M1 LTD,BALGEEN,A92CK72 2.30 EUR XR 1.179487</t>
        </is>
      </c>
      <c r="D70" s="3" t="inlineStr"/>
      <c r="E70" s="4" t="n"/>
      <c r="F70" s="4" t="n">
        <v>1.95</v>
      </c>
      <c r="G70" s="4">
        <f>G69+E70-F70</f>
        <v/>
      </c>
    </row>
    <row r="71">
      <c r="A71" t="inlineStr">
        <is>
          <t>01/07/2024</t>
        </is>
      </c>
      <c r="B71" t="inlineStr">
        <is>
          <t>1200 - Bank</t>
        </is>
      </c>
      <c r="C71" t="inlineStr">
        <is>
          <t>Fin: NORTHLINK M1 LTD,BALGEEN,A92CK72 2.30 EUR XR 1.179487</t>
        </is>
      </c>
      <c r="D71" t="inlineStr"/>
      <c r="E71" s="5" t="n"/>
      <c r="F71" s="5" t="n">
        <v>1.95</v>
      </c>
      <c r="G71" s="5">
        <f>G70+E71-F71</f>
        <v/>
      </c>
    </row>
    <row r="72">
      <c r="A72" s="3" t="inlineStr">
        <is>
          <t>01/07/2024</t>
        </is>
      </c>
      <c r="B72" s="3" t="inlineStr">
        <is>
          <t>1200 - Bank</t>
        </is>
      </c>
      <c r="C72" s="3" t="inlineStr">
        <is>
          <t>Fin: OFFICE,2 HIGH STREET,BELFAST</t>
        </is>
      </c>
      <c r="D72" s="3" t="inlineStr"/>
      <c r="E72" s="4" t="n"/>
      <c r="F72" s="4" t="n">
        <v>90.23999999999999</v>
      </c>
      <c r="G72" s="4">
        <f>G71+E72-F72</f>
        <v/>
      </c>
    </row>
    <row r="73">
      <c r="A73" t="inlineStr">
        <is>
          <t>01/07/2024</t>
        </is>
      </c>
      <c r="B73" t="inlineStr">
        <is>
          <t>1200 - Bank</t>
        </is>
      </c>
      <c r="C73" t="inlineStr">
        <is>
          <t>Fin: RINGSEND TOLL BRIDGE D,D04W922 2.20 EUR XR 1.176471</t>
        </is>
      </c>
      <c r="D73" t="inlineStr"/>
      <c r="E73" s="5" t="n"/>
      <c r="F73" s="5" t="n">
        <v>1.87</v>
      </c>
      <c r="G73" s="5">
        <f>G72+E73-F73</f>
        <v/>
      </c>
    </row>
    <row r="74">
      <c r="A74" s="3" t="inlineStr">
        <is>
          <t>01/07/2024</t>
        </is>
      </c>
      <c r="B74" s="3" t="inlineStr">
        <is>
          <t>1200 - Bank</t>
        </is>
      </c>
      <c r="C74" s="3" t="inlineStr">
        <is>
          <t>Fin: RINGSEND TOLL BRIDGE D,D04W922 2.20 EUR XR 1.176471</t>
        </is>
      </c>
      <c r="D74" s="3" t="inlineStr"/>
      <c r="E74" s="4" t="n"/>
      <c r="F74" s="4" t="n">
        <v>1.87</v>
      </c>
      <c r="G74" s="4">
        <f>G73+E74-F74</f>
        <v/>
      </c>
    </row>
    <row r="75">
      <c r="A75" t="inlineStr">
        <is>
          <t>01/07/2024</t>
        </is>
      </c>
      <c r="B75" t="inlineStr">
        <is>
          <t>1200 - Bank</t>
        </is>
      </c>
      <c r="C75" t="inlineStr">
        <is>
          <t>Fin: SHUTTERSTOCK IRELAND L,Dublin 2</t>
        </is>
      </c>
      <c r="D75" t="inlineStr"/>
      <c r="E75" s="5" t="n"/>
      <c r="F75" s="5" t="n">
        <v>22.8</v>
      </c>
      <c r="G75" s="5">
        <f>G74+E75-F75</f>
        <v/>
      </c>
    </row>
    <row r="76">
      <c r="A76" s="3" t="inlineStr">
        <is>
          <t>01/07/2024</t>
        </is>
      </c>
      <c r="B76" s="3" t="inlineStr">
        <is>
          <t>1200 - Bank</t>
        </is>
      </c>
      <c r="C76" s="3" t="inlineStr">
        <is>
          <t>Fin: SPAR TWIN SPIRES,UNIT 17-21 ,BELFAS</t>
        </is>
      </c>
      <c r="D76" s="3" t="inlineStr"/>
      <c r="E76" s="4" t="n"/>
      <c r="F76" s="4" t="n">
        <v>13.76</v>
      </c>
      <c r="G76" s="4">
        <f>G75+E76-F76</f>
        <v/>
      </c>
    </row>
    <row r="77">
      <c r="A77" t="inlineStr">
        <is>
          <t>01/07/2024</t>
        </is>
      </c>
      <c r="B77" t="inlineStr">
        <is>
          <t>1200 - Bank</t>
        </is>
      </c>
      <c r="C77" t="inlineStr">
        <is>
          <t>Fin: SQ *CNG BAR COMPANY LI,63 San,Dubli 1.50 EUR XR 1.181102</t>
        </is>
      </c>
      <c r="D77" t="inlineStr"/>
      <c r="E77" s="5" t="n"/>
      <c r="F77" s="5" t="n">
        <v>1.27</v>
      </c>
      <c r="G77" s="5">
        <f>G76+E77-F77</f>
        <v/>
      </c>
    </row>
    <row r="78">
      <c r="A78" s="3" t="inlineStr">
        <is>
          <t>01/07/2024</t>
        </is>
      </c>
      <c r="B78" s="3" t="inlineStr">
        <is>
          <t>1200 - Bank</t>
        </is>
      </c>
      <c r="C78" s="3" t="inlineStr">
        <is>
          <t>Fin: SQ *CNG BAR COMPANY LI,63 San,Dubli 1.50 EUR XR 1.181102</t>
        </is>
      </c>
      <c r="D78" s="3" t="inlineStr"/>
      <c r="E78" s="4" t="n"/>
      <c r="F78" s="4" t="n">
        <v>1.27</v>
      </c>
      <c r="G78" s="4">
        <f>G77+E78-F78</f>
        <v/>
      </c>
    </row>
    <row r="79">
      <c r="A79" t="inlineStr">
        <is>
          <t>01/07/2024</t>
        </is>
      </c>
      <c r="B79" t="inlineStr">
        <is>
          <t>1200 - Bank</t>
        </is>
      </c>
      <c r="C79" t="inlineStr">
        <is>
          <t>Fin: SQ *CNG BAR COMPANY LI,63 San,Dubli 3 EUR XR 1.176471</t>
        </is>
      </c>
      <c r="D79" t="inlineStr"/>
      <c r="E79" s="5" t="n"/>
      <c r="F79" s="5" t="n">
        <v>2.55</v>
      </c>
      <c r="G79" s="5">
        <f>G78+E79-F79</f>
        <v/>
      </c>
    </row>
    <row r="80">
      <c r="A80" s="3" t="inlineStr">
        <is>
          <t>01/07/2024</t>
        </is>
      </c>
      <c r="B80" s="3" t="inlineStr">
        <is>
          <t>1200 - Bank</t>
        </is>
      </c>
      <c r="C80" s="3" t="inlineStr">
        <is>
          <t>Fin: SQ *CNG BAR COMPANY LI,63 San,Dubli 6.50 EUR XR 1.179673</t>
        </is>
      </c>
      <c r="D80" s="3" t="inlineStr"/>
      <c r="E80" s="4" t="n"/>
      <c r="F80" s="4" t="n">
        <v>5.51</v>
      </c>
      <c r="G80" s="4">
        <f>G79+E80-F80</f>
        <v/>
      </c>
    </row>
    <row r="81">
      <c r="A81" t="inlineStr">
        <is>
          <t>01/07/2024</t>
        </is>
      </c>
      <c r="B81" t="inlineStr">
        <is>
          <t>1200 - Bank</t>
        </is>
      </c>
      <c r="C81" t="inlineStr">
        <is>
          <t>Fin: SQ *CNG BAR COMPANY LI,63 San,Dubli 6.50 EUR XR 1.179673</t>
        </is>
      </c>
      <c r="D81" t="inlineStr"/>
      <c r="E81" s="5" t="n"/>
      <c r="F81" s="5" t="n">
        <v>5.51</v>
      </c>
      <c r="G81" s="5">
        <f>G80+E81-F81</f>
        <v/>
      </c>
    </row>
    <row r="82">
      <c r="A82" s="3" t="inlineStr">
        <is>
          <t>01/07/2024</t>
        </is>
      </c>
      <c r="B82" s="3" t="inlineStr">
        <is>
          <t>1200 - Bank</t>
        </is>
      </c>
      <c r="C82" s="3" t="inlineStr">
        <is>
          <t>Fin: TESCO STORES 3522,TESCO I,DUBLIN 22.45 EUR XR 1.178478</t>
        </is>
      </c>
      <c r="D82" s="3" t="inlineStr"/>
      <c r="E82" s="4" t="n"/>
      <c r="F82" s="4" t="n">
        <v>19.05</v>
      </c>
      <c r="G82" s="4">
        <f>G81+E82-F82</f>
        <v/>
      </c>
    </row>
    <row r="83">
      <c r="A83" t="inlineStr">
        <is>
          <t>01/07/2024</t>
        </is>
      </c>
      <c r="B83" t="inlineStr">
        <is>
          <t>1200 - Bank</t>
        </is>
      </c>
      <c r="C83" t="inlineStr">
        <is>
          <t>Fin: TESCO STORES 5522,2 BALLYGOM,BELFAS</t>
        </is>
      </c>
      <c r="D83" t="inlineStr"/>
      <c r="E83" s="5" t="n"/>
      <c r="F83" s="5" t="n">
        <v>7</v>
      </c>
      <c r="G83" s="5">
        <f>G82+E83-F83</f>
        <v/>
      </c>
    </row>
    <row r="84">
      <c r="A84" s="3" t="inlineStr">
        <is>
          <t>01/07/2024</t>
        </is>
      </c>
      <c r="B84" s="3" t="inlineStr">
        <is>
          <t>1200 - Bank</t>
        </is>
      </c>
      <c r="C84" s="3" t="inlineStr">
        <is>
          <t>Fin: THE CLONARD,158 SPRINGFIELD ,BELFAS</t>
        </is>
      </c>
      <c r="D84" s="3" t="inlineStr"/>
      <c r="E84" s="4" t="n"/>
      <c r="F84" s="4" t="n">
        <v>2</v>
      </c>
      <c r="G84" s="4">
        <f>G83+E84-F84</f>
        <v/>
      </c>
    </row>
    <row r="85">
      <c r="A85" t="inlineStr">
        <is>
          <t>01/07/2024</t>
        </is>
      </c>
      <c r="B85" t="inlineStr">
        <is>
          <t>1200 - Bank</t>
        </is>
      </c>
      <c r="C85" t="inlineStr">
        <is>
          <t>Fin: TK MAXX,UNIT 13,BELFAST</t>
        </is>
      </c>
      <c r="D85" t="inlineStr"/>
      <c r="E85" s="5" t="n"/>
      <c r="F85" s="5" t="n">
        <v>22.24</v>
      </c>
      <c r="G85" s="5">
        <f>G84+E85-F85</f>
        <v/>
      </c>
    </row>
    <row r="86">
      <c r="A86" s="3" t="inlineStr">
        <is>
          <t>01/07/2024</t>
        </is>
      </c>
      <c r="B86" s="3" t="inlineStr">
        <is>
          <t>1200 - Bank</t>
        </is>
      </c>
      <c r="C86" s="3" t="inlineStr">
        <is>
          <t>G LECKEY transfer</t>
        </is>
      </c>
      <c r="D86" s="3" t="inlineStr"/>
      <c r="E86" s="4" t="n">
        <v>116.8</v>
      </c>
      <c r="F86" s="4" t="n"/>
      <c r="G86" s="4">
        <f>G85+E86-F86</f>
        <v/>
      </c>
    </row>
    <row r="87">
      <c r="A87" t="inlineStr">
        <is>
          <t>01/07/2024</t>
        </is>
      </c>
      <c r="B87" t="inlineStr">
        <is>
          <t>1200 - Bank</t>
        </is>
      </c>
      <c r="C87" t="inlineStr">
        <is>
          <t>tina brown tina</t>
        </is>
      </c>
      <c r="D87" t="inlineStr"/>
      <c r="E87" s="5" t="n"/>
      <c r="F87" s="5" t="n">
        <v>180</v>
      </c>
      <c r="G87" s="5">
        <f>G86+E87-F87</f>
        <v/>
      </c>
    </row>
    <row r="88">
      <c r="A88" s="3" t="inlineStr">
        <is>
          <t>01/07/2024</t>
        </is>
      </c>
      <c r="B88" s="3" t="inlineStr">
        <is>
          <t>1200 - Bank</t>
        </is>
      </c>
      <c r="C88" s="3" t="inlineStr">
        <is>
          <t>tina brown tina</t>
        </is>
      </c>
      <c r="D88" s="3" t="inlineStr"/>
      <c r="E88" s="4" t="n"/>
      <c r="F88" s="4" t="n">
        <v>90</v>
      </c>
      <c r="G88" s="4">
        <f>G87+E88-F88</f>
        <v/>
      </c>
    </row>
    <row r="89">
      <c r="A89" t="inlineStr">
        <is>
          <t>02/07/2024</t>
        </is>
      </c>
      <c r="B89" t="inlineStr">
        <is>
          <t>1200 - Bank</t>
        </is>
      </c>
      <c r="C89" t="inlineStr">
        <is>
          <t>BROWN T TINA</t>
        </is>
      </c>
      <c r="D89" t="inlineStr"/>
      <c r="E89" s="5" t="n">
        <v>50</v>
      </c>
      <c r="F89" s="5" t="n"/>
      <c r="G89" s="5">
        <f>G88+E89-F89</f>
        <v/>
      </c>
    </row>
    <row r="90">
      <c r="A90" s="3" t="inlineStr">
        <is>
          <t>02/07/2024</t>
        </is>
      </c>
      <c r="B90" s="3" t="inlineStr">
        <is>
          <t>1200 - Bank</t>
        </is>
      </c>
      <c r="C90" s="3" t="inlineStr">
        <is>
          <t>Fin: ChangeGroup UK Falls,Belfast, Ant</t>
        </is>
      </c>
      <c r="D90" s="3" t="inlineStr"/>
      <c r="E90" s="4" t="n"/>
      <c r="F90" s="4" t="n">
        <v>301</v>
      </c>
      <c r="G90" s="4">
        <f>G89+E90-F90</f>
        <v/>
      </c>
    </row>
    <row r="91">
      <c r="A91" t="inlineStr">
        <is>
          <t>02/07/2024</t>
        </is>
      </c>
      <c r="B91" t="inlineStr">
        <is>
          <t>1200 - Bank</t>
        </is>
      </c>
      <c r="C91" t="inlineStr">
        <is>
          <t>Fin: D129 05AIB BANKLIN,SANDYMOUNT</t>
        </is>
      </c>
      <c r="D91" t="inlineStr"/>
      <c r="E91" s="5" t="n"/>
      <c r="F91" s="5" t="n">
        <v>34.7</v>
      </c>
      <c r="G91" s="5">
        <f>G90+E91-F91</f>
        <v/>
      </c>
    </row>
    <row r="92">
      <c r="A92" s="3" t="inlineStr">
        <is>
          <t>02/07/2024</t>
        </is>
      </c>
      <c r="B92" s="3" t="inlineStr">
        <is>
          <t>1200 - Bank</t>
        </is>
      </c>
      <c r="C92" s="3" t="inlineStr">
        <is>
          <t>Fin: E01604100000000,MCPEAKES 1 S,BELFAS</t>
        </is>
      </c>
      <c r="D92" s="3" t="inlineStr"/>
      <c r="E92" s="4" t="n"/>
      <c r="F92" s="4" t="n">
        <v>101.99</v>
      </c>
      <c r="G92" s="4">
        <f>G91+E92-F92</f>
        <v/>
      </c>
    </row>
    <row r="93">
      <c r="A93" t="inlineStr">
        <is>
          <t>02/07/2024</t>
        </is>
      </c>
      <c r="B93" t="inlineStr">
        <is>
          <t>1200 - Bank</t>
        </is>
      </c>
      <c r="C93" t="inlineStr">
        <is>
          <t>Fin: THE BELLEVUE ARMS,NEWTOWNABBEY</t>
        </is>
      </c>
      <c r="D93" t="inlineStr"/>
      <c r="E93" s="5" t="n"/>
      <c r="F93" s="5" t="n">
        <v>124.15</v>
      </c>
      <c r="G93" s="5">
        <f>G92+E93-F93</f>
        <v/>
      </c>
    </row>
    <row r="94">
      <c r="A94" s="3" t="inlineStr">
        <is>
          <t>02/07/2024</t>
        </is>
      </c>
      <c r="B94" s="3" t="inlineStr">
        <is>
          <t>1200 - Bank</t>
        </is>
      </c>
      <c r="C94" s="3" t="inlineStr">
        <is>
          <t>Fin: TIM HORTONS UK - TH061,BELFAST</t>
        </is>
      </c>
      <c r="D94" s="3" t="inlineStr"/>
      <c r="E94" s="4" t="n"/>
      <c r="F94" s="4" t="n">
        <v>4.39</v>
      </c>
      <c r="G94" s="4">
        <f>G93+E94-F94</f>
        <v/>
      </c>
    </row>
    <row r="95">
      <c r="A95" t="inlineStr">
        <is>
          <t>03/07/2024</t>
        </is>
      </c>
      <c r="B95" t="inlineStr">
        <is>
          <t>1200 - Bank</t>
        </is>
      </c>
      <c r="C95" t="inlineStr">
        <is>
          <t>BROWN T TINA</t>
        </is>
      </c>
      <c r="D95" t="inlineStr"/>
      <c r="E95" s="5" t="n">
        <v>160</v>
      </c>
      <c r="F95" s="5" t="n"/>
      <c r="G95" s="5">
        <f>G94+E95-F95</f>
        <v/>
      </c>
    </row>
    <row r="96">
      <c r="A96" s="3" t="inlineStr">
        <is>
          <t>03/07/2024</t>
        </is>
      </c>
      <c r="B96" s="3" t="inlineStr">
        <is>
          <t>1200 - Bank</t>
        </is>
      </c>
      <c r="C96" s="3" t="inlineStr">
        <is>
          <t>Fin: AMZ*Marketing Svcs,AMS.AMAZON.CO</t>
        </is>
      </c>
      <c r="D96" s="3" t="inlineStr"/>
      <c r="E96" s="4" t="n"/>
      <c r="F96" s="4" t="n">
        <v>32.56</v>
      </c>
      <c r="G96" s="4">
        <f>G95+E96-F96</f>
        <v/>
      </c>
    </row>
    <row r="97">
      <c r="A97" t="inlineStr">
        <is>
          <t>03/07/2024</t>
        </is>
      </c>
      <c r="B97" t="inlineStr">
        <is>
          <t>1200 - Bank</t>
        </is>
      </c>
      <c r="C97" t="inlineStr">
        <is>
          <t>Fin: Amazon.co.uk*IM5NG3RW5,AMAZON.CO.UK</t>
        </is>
      </c>
      <c r="D97" t="inlineStr"/>
      <c r="E97" s="5" t="n"/>
      <c r="F97" s="5" t="n">
        <v>12.71</v>
      </c>
      <c r="G97" s="5">
        <f>G96+E97-F97</f>
        <v/>
      </c>
    </row>
    <row r="98">
      <c r="A98" s="3" t="inlineStr">
        <is>
          <t>03/07/2024</t>
        </is>
      </c>
      <c r="B98" s="3" t="inlineStr">
        <is>
          <t>1200 - Bank</t>
        </is>
      </c>
      <c r="C98" s="3" t="inlineStr">
        <is>
          <t>Fin: CO-OP GROUP 140006,Old Park Road</t>
        </is>
      </c>
      <c r="D98" s="3" t="inlineStr"/>
      <c r="E98" s="4" t="n"/>
      <c r="F98" s="4" t="n">
        <v>15.85</v>
      </c>
      <c r="G98" s="4">
        <f>G97+E98-F98</f>
        <v/>
      </c>
    </row>
    <row r="99">
      <c r="A99" t="inlineStr">
        <is>
          <t>03/07/2024</t>
        </is>
      </c>
      <c r="B99" t="inlineStr">
        <is>
          <t>1200 - Bank</t>
        </is>
      </c>
      <c r="C99" t="inlineStr">
        <is>
          <t>Fin: MARKS&amp;SPENCER PLC SACA,BELFAST ALDE</t>
        </is>
      </c>
      <c r="D99" t="inlineStr"/>
      <c r="E99" s="5" t="n"/>
      <c r="F99" s="5" t="n">
        <v>28.4</v>
      </c>
      <c r="G99" s="5">
        <f>G98+E99-F99</f>
        <v/>
      </c>
    </row>
    <row r="100">
      <c r="A100" s="3" t="inlineStr">
        <is>
          <t>03/07/2024</t>
        </is>
      </c>
      <c r="B100" s="3" t="inlineStr">
        <is>
          <t>1200 - Bank</t>
        </is>
      </c>
      <c r="C100" s="3" t="inlineStr">
        <is>
          <t>gary leckey gary</t>
        </is>
      </c>
      <c r="D100" s="3" t="inlineStr"/>
      <c r="E100" s="4" t="n"/>
      <c r="F100" s="4" t="n">
        <v>5</v>
      </c>
      <c r="G100" s="4">
        <f>G99+E100-F100</f>
        <v/>
      </c>
    </row>
    <row r="101">
      <c r="A101" t="inlineStr">
        <is>
          <t>04/07/2024</t>
        </is>
      </c>
      <c r="B101" t="inlineStr">
        <is>
          <t>1200 - Bank</t>
        </is>
      </c>
      <c r="C101" t="inlineStr">
        <is>
          <t>BROWN T TINA</t>
        </is>
      </c>
      <c r="D101" t="inlineStr"/>
      <c r="E101" s="5" t="n">
        <v>17.5</v>
      </c>
      <c r="F101" s="5" t="n"/>
      <c r="G101" s="5">
        <f>G100+E101-F101</f>
        <v/>
      </c>
    </row>
    <row r="102">
      <c r="A102" s="3" t="inlineStr">
        <is>
          <t>04/07/2024</t>
        </is>
      </c>
      <c r="B102" s="3" t="inlineStr">
        <is>
          <t>1200 - Bank</t>
        </is>
      </c>
      <c r="C102" s="3" t="inlineStr">
        <is>
          <t>BROWN T TINA</t>
        </is>
      </c>
      <c r="D102" s="3" t="inlineStr"/>
      <c r="E102" s="4" t="n">
        <v>20</v>
      </c>
      <c r="F102" s="4" t="n"/>
      <c r="G102" s="4">
        <f>G101+E102-F102</f>
        <v/>
      </c>
    </row>
    <row r="103">
      <c r="A103" t="inlineStr">
        <is>
          <t>04/07/2024</t>
        </is>
      </c>
      <c r="B103" t="inlineStr">
        <is>
          <t>1200 - Bank</t>
        </is>
      </c>
      <c r="C103" t="inlineStr">
        <is>
          <t>BROWN T TINA</t>
        </is>
      </c>
      <c r="D103" t="inlineStr"/>
      <c r="E103" s="5" t="n">
        <v>20</v>
      </c>
      <c r="F103" s="5" t="n"/>
      <c r="G103" s="5">
        <f>G102+E103-F103</f>
        <v/>
      </c>
    </row>
    <row r="104">
      <c r="A104" s="3" t="inlineStr">
        <is>
          <t>04/07/2024</t>
        </is>
      </c>
      <c r="B104" s="3" t="inlineStr">
        <is>
          <t>1200 - Bank</t>
        </is>
      </c>
      <c r="C104" s="3" t="inlineStr">
        <is>
          <t>Fin: ChangeGroup UK Falls,Belfast, Ant</t>
        </is>
      </c>
      <c r="D104" s="3" t="inlineStr"/>
      <c r="E104" s="4" t="n"/>
      <c r="F104" s="4" t="n">
        <v>161</v>
      </c>
      <c r="G104" s="4">
        <f>G103+E104-F104</f>
        <v/>
      </c>
    </row>
    <row r="105">
      <c r="A105" t="inlineStr">
        <is>
          <t>04/07/2024</t>
        </is>
      </c>
      <c r="B105" t="inlineStr">
        <is>
          <t>1200 - Bank</t>
        </is>
      </c>
      <c r="C105" t="inlineStr">
        <is>
          <t>Fin: Gelato Group UK Ltd,Acconomy, ,Pool 1 USD XR 1.265823</t>
        </is>
      </c>
      <c r="D105" t="inlineStr"/>
      <c r="E105" s="5" t="n"/>
      <c r="F105" s="5" t="n">
        <v>0.79</v>
      </c>
      <c r="G105" s="5">
        <f>G104+E105-F105</f>
        <v/>
      </c>
    </row>
    <row r="106">
      <c r="A106" s="3" t="inlineStr">
        <is>
          <t>04/07/2024</t>
        </is>
      </c>
      <c r="B106" s="3" t="inlineStr">
        <is>
          <t>1200 - Bank</t>
        </is>
      </c>
      <c r="C106" s="3" t="inlineStr">
        <is>
          <t>Fin: Gelato Group UK Ltd,Acconomy, ,Pool 1 USD XR 1.265823</t>
        </is>
      </c>
      <c r="D106" s="3" t="inlineStr"/>
      <c r="E106" s="4" t="n">
        <v>0.79</v>
      </c>
      <c r="F106" s="4" t="n"/>
      <c r="G106" s="4">
        <f>G105+E106-F106</f>
        <v/>
      </c>
    </row>
    <row r="107">
      <c r="A107" t="inlineStr">
        <is>
          <t>05/07/2024</t>
        </is>
      </c>
      <c r="B107" t="inlineStr">
        <is>
          <t>1200 - Bank</t>
        </is>
      </c>
      <c r="C107" t="inlineStr">
        <is>
          <t>BROWN T TINA</t>
        </is>
      </c>
      <c r="D107" t="inlineStr"/>
      <c r="E107" s="5" t="n">
        <v>20</v>
      </c>
      <c r="F107" s="5" t="n"/>
      <c r="G107" s="5">
        <f>G106+E107-F107</f>
        <v/>
      </c>
    </row>
    <row r="108">
      <c r="A108" s="3" t="inlineStr">
        <is>
          <t>05/07/2024</t>
        </is>
      </c>
      <c r="B108" s="3" t="inlineStr">
        <is>
          <t>1200 - Bank</t>
        </is>
      </c>
      <c r="C108" s="3" t="inlineStr">
        <is>
          <t>BROWN T TINA</t>
        </is>
      </c>
      <c r="D108" s="3" t="inlineStr"/>
      <c r="E108" s="4" t="n">
        <v>20</v>
      </c>
      <c r="F108" s="4" t="n"/>
      <c r="G108" s="4">
        <f>G107+E108-F108</f>
        <v/>
      </c>
    </row>
    <row r="109">
      <c r="A109" t="inlineStr">
        <is>
          <t>05/07/2024</t>
        </is>
      </c>
      <c r="B109" t="inlineStr">
        <is>
          <t>1200 - Bank</t>
        </is>
      </c>
      <c r="C109" t="inlineStr">
        <is>
          <t>BROWN T TINA</t>
        </is>
      </c>
      <c r="D109" t="inlineStr"/>
      <c r="E109" s="5" t="n">
        <v>45</v>
      </c>
      <c r="F109" s="5" t="n"/>
      <c r="G109" s="5">
        <f>G108+E109-F109</f>
        <v/>
      </c>
    </row>
    <row r="110">
      <c r="A110" s="3" t="inlineStr">
        <is>
          <t>05/07/2024</t>
        </is>
      </c>
      <c r="B110" s="3" t="inlineStr">
        <is>
          <t>1200 - Bank</t>
        </is>
      </c>
      <c r="C110" s="3" t="inlineStr">
        <is>
          <t>Fin: AMAZON* 204-5646459-20,1 Prin,LONDO</t>
        </is>
      </c>
      <c r="D110" s="3" t="inlineStr"/>
      <c r="E110" s="4" t="n"/>
      <c r="F110" s="4" t="n">
        <v>17.95</v>
      </c>
      <c r="G110" s="4">
        <f>G109+E110-F110</f>
        <v/>
      </c>
    </row>
    <row r="111">
      <c r="A111" t="inlineStr">
        <is>
          <t>05/07/2024</t>
        </is>
      </c>
      <c r="B111" t="inlineStr">
        <is>
          <t>1200 - Bank</t>
        </is>
      </c>
      <c r="C111" t="inlineStr">
        <is>
          <t>Fin: CO-OP GROUP 140916,BALLYSILLAN R</t>
        </is>
      </c>
      <c r="D111" t="inlineStr"/>
      <c r="E111" s="5" t="n"/>
      <c r="F111" s="5" t="n">
        <v>14.3</v>
      </c>
      <c r="G111" s="5">
        <f>G110+E111-F111</f>
        <v/>
      </c>
    </row>
    <row r="112">
      <c r="A112" s="3" t="inlineStr">
        <is>
          <t>05/07/2024</t>
        </is>
      </c>
      <c r="B112" s="3" t="inlineStr">
        <is>
          <t>1200 - Bank</t>
        </is>
      </c>
      <c r="C112" s="3" t="inlineStr">
        <is>
          <t>Fin: E01506400000000,COOPERATIVE ,BELFAS</t>
        </is>
      </c>
      <c r="D112" s="3" t="inlineStr"/>
      <c r="E112" s="4" t="n"/>
      <c r="F112" s="4" t="n">
        <v>20</v>
      </c>
      <c r="G112" s="4">
        <f>G111+E112-F112</f>
        <v/>
      </c>
    </row>
    <row r="113">
      <c r="A113" t="inlineStr">
        <is>
          <t>05/07/2024</t>
        </is>
      </c>
      <c r="B113" t="inlineStr">
        <is>
          <t>1200 - Bank</t>
        </is>
      </c>
      <c r="C113" t="inlineStr">
        <is>
          <t>Fin: MAXOL EDENDERRY SSTN,298 CRU,BELFAS</t>
        </is>
      </c>
      <c r="D113" t="inlineStr"/>
      <c r="E113" s="5" t="n"/>
      <c r="F113" s="5" t="n">
        <v>1.25</v>
      </c>
      <c r="G113" s="5">
        <f>G112+E113-F113</f>
        <v/>
      </c>
    </row>
    <row r="114">
      <c r="A114" s="3" t="inlineStr">
        <is>
          <t>06/07/2024</t>
        </is>
      </c>
      <c r="B114" s="3" t="inlineStr">
        <is>
          <t>1200 - Bank</t>
        </is>
      </c>
      <c r="C114" s="3" t="inlineStr">
        <is>
          <t>**** Cashback ****</t>
        </is>
      </c>
      <c r="D114" s="3" t="inlineStr"/>
      <c r="E114" s="4" t="n">
        <v>3.12</v>
      </c>
      <c r="F114" s="4" t="n"/>
      <c r="G114" s="4">
        <f>G113+E114-F114</f>
        <v/>
      </c>
    </row>
    <row r="115">
      <c r="A115" t="inlineStr">
        <is>
          <t>06/07/2024</t>
        </is>
      </c>
      <c r="B115" t="inlineStr">
        <is>
          <t>1200 - Bank</t>
        </is>
      </c>
      <c r="C115" t="inlineStr">
        <is>
          <t>BROWN T TINA</t>
        </is>
      </c>
      <c r="D115" t="inlineStr"/>
      <c r="E115" s="5" t="n">
        <v>100</v>
      </c>
      <c r="F115" s="5" t="n"/>
      <c r="G115" s="5">
        <f>G114+E115-F115</f>
        <v/>
      </c>
    </row>
    <row r="116">
      <c r="A116" s="3" t="inlineStr">
        <is>
          <t>06/07/2024</t>
        </is>
      </c>
      <c r="B116" s="3" t="inlineStr">
        <is>
          <t>1200 - Bank</t>
        </is>
      </c>
      <c r="C116" s="3" t="inlineStr">
        <is>
          <t>BROWN T TINA</t>
        </is>
      </c>
      <c r="D116" s="3" t="inlineStr"/>
      <c r="E116" s="4" t="n">
        <v>100</v>
      </c>
      <c r="F116" s="4" t="n"/>
      <c r="G116" s="4">
        <f>G115+E116-F116</f>
        <v/>
      </c>
    </row>
    <row r="117">
      <c r="A117" t="inlineStr">
        <is>
          <t>06/07/2024</t>
        </is>
      </c>
      <c r="B117" t="inlineStr">
        <is>
          <t>1200 - Bank</t>
        </is>
      </c>
      <c r="C117" t="inlineStr">
        <is>
          <t>BROWN T TINA</t>
        </is>
      </c>
      <c r="D117" t="inlineStr"/>
      <c r="E117" s="5" t="n">
        <v>20</v>
      </c>
      <c r="F117" s="5" t="n"/>
      <c r="G117" s="5">
        <f>G116+E117-F117</f>
        <v/>
      </c>
    </row>
    <row r="118">
      <c r="A118" s="3" t="inlineStr">
        <is>
          <t>06/07/2024</t>
        </is>
      </c>
      <c r="B118" s="3" t="inlineStr">
        <is>
          <t>1200 - Bank</t>
        </is>
      </c>
      <c r="C118" s="3" t="inlineStr">
        <is>
          <t>BROWN T TINA</t>
        </is>
      </c>
      <c r="D118" s="3" t="inlineStr"/>
      <c r="E118" s="4" t="n">
        <v>20</v>
      </c>
      <c r="F118" s="4" t="n"/>
      <c r="G118" s="4">
        <f>G117+E118-F118</f>
        <v/>
      </c>
    </row>
    <row r="119">
      <c r="A119" t="inlineStr">
        <is>
          <t>08/07/2024</t>
        </is>
      </c>
      <c r="B119" t="inlineStr">
        <is>
          <t>1200 - Bank</t>
        </is>
      </c>
      <c r="C119" t="inlineStr">
        <is>
          <t>BROWN T TINA</t>
        </is>
      </c>
      <c r="D119" t="inlineStr"/>
      <c r="E119" s="5" t="n">
        <v>300</v>
      </c>
      <c r="F119" s="5" t="n"/>
      <c r="G119" s="5">
        <f>G118+E119-F119</f>
        <v/>
      </c>
    </row>
    <row r="120">
      <c r="A120" s="3" t="inlineStr">
        <is>
          <t>08/07/2024</t>
        </is>
      </c>
      <c r="B120" s="3" t="inlineStr">
        <is>
          <t>1200 - Bank</t>
        </is>
      </c>
      <c r="C120" s="3" t="inlineStr">
        <is>
          <t>BROWN T TINA</t>
        </is>
      </c>
      <c r="D120" s="3" t="inlineStr"/>
      <c r="E120" s="4" t="n">
        <v>40</v>
      </c>
      <c r="F120" s="4" t="n"/>
      <c r="G120" s="4">
        <f>G119+E120-F120</f>
        <v/>
      </c>
    </row>
    <row r="121">
      <c r="A121" t="inlineStr">
        <is>
          <t>08/07/2024</t>
        </is>
      </c>
      <c r="B121" t="inlineStr">
        <is>
          <t>1200 - Bank</t>
        </is>
      </c>
      <c r="C121" t="inlineStr">
        <is>
          <t>Fin: CO-OP GROUP 140006,Old Park Road</t>
        </is>
      </c>
      <c r="D121" t="inlineStr"/>
      <c r="E121" s="5" t="n"/>
      <c r="F121" s="5" t="n">
        <v>6.8</v>
      </c>
      <c r="G121" s="5">
        <f>G120+E121-F121</f>
        <v/>
      </c>
    </row>
    <row r="122">
      <c r="A122" s="3" t="inlineStr">
        <is>
          <t>08/07/2024</t>
        </is>
      </c>
      <c r="B122" s="3" t="inlineStr">
        <is>
          <t>1200 - Bank</t>
        </is>
      </c>
      <c r="C122" s="3" t="inlineStr">
        <is>
          <t>Fin: ChangeGroup UK Falls,155 Nor,Belfas</t>
        </is>
      </c>
      <c r="D122" s="3" t="inlineStr"/>
      <c r="E122" s="4" t="n"/>
      <c r="F122" s="4" t="n">
        <v>20</v>
      </c>
      <c r="G122" s="4">
        <f>G121+E122-F122</f>
        <v/>
      </c>
    </row>
    <row r="123">
      <c r="A123" t="inlineStr">
        <is>
          <t>08/07/2024</t>
        </is>
      </c>
      <c r="B123" t="inlineStr">
        <is>
          <t>1200 - Bank</t>
        </is>
      </c>
      <c r="C123" t="inlineStr">
        <is>
          <t>Fin: ChangeGroup UK Falls,155 Nor,Belfas</t>
        </is>
      </c>
      <c r="D123" t="inlineStr"/>
      <c r="E123" s="5" t="n"/>
      <c r="F123" s="5" t="n">
        <v>20</v>
      </c>
      <c r="G123" s="5">
        <f>G122+E123-F123</f>
        <v/>
      </c>
    </row>
    <row r="124">
      <c r="A124" s="3" t="inlineStr">
        <is>
          <t>08/07/2024</t>
        </is>
      </c>
      <c r="B124" s="3" t="inlineStr">
        <is>
          <t>1200 - Bank</t>
        </is>
      </c>
      <c r="C124" s="3" t="inlineStr">
        <is>
          <t>Fin: E01604100000000,MCPEAKES 1 S,BELFAS</t>
        </is>
      </c>
      <c r="D124" s="3" t="inlineStr"/>
      <c r="E124" s="4" t="n"/>
      <c r="F124" s="4" t="n">
        <v>191.99</v>
      </c>
      <c r="G124" s="4">
        <f>G123+E124-F124</f>
        <v/>
      </c>
    </row>
    <row r="125">
      <c r="A125" t="inlineStr">
        <is>
          <t>08/07/2024</t>
        </is>
      </c>
      <c r="B125" t="inlineStr">
        <is>
          <t>1200 - Bank</t>
        </is>
      </c>
      <c r="C125" t="inlineStr">
        <is>
          <t>Fin: LANDSCAPE FILLING STAT,BELFAST</t>
        </is>
      </c>
      <c r="D125" t="inlineStr"/>
      <c r="E125" s="5" t="n"/>
      <c r="F125" s="5" t="n">
        <v>43</v>
      </c>
      <c r="G125" s="5">
        <f>G124+E125-F125</f>
        <v/>
      </c>
    </row>
    <row r="126">
      <c r="A126" s="3" t="inlineStr">
        <is>
          <t>08/07/2024</t>
        </is>
      </c>
      <c r="B126" s="3" t="inlineStr">
        <is>
          <t>1200 - Bank</t>
        </is>
      </c>
      <c r="C126" s="3" t="inlineStr">
        <is>
          <t>Fin: MEDICARE PHARMACY 06,DUNVILL,BELFAS</t>
        </is>
      </c>
      <c r="D126" s="3" t="inlineStr"/>
      <c r="E126" s="4" t="n"/>
      <c r="F126" s="4" t="n">
        <v>2.08</v>
      </c>
      <c r="G126" s="4">
        <f>G125+E126-F126</f>
        <v/>
      </c>
    </row>
    <row r="127">
      <c r="A127" t="inlineStr">
        <is>
          <t>08/07/2024</t>
        </is>
      </c>
      <c r="B127" t="inlineStr">
        <is>
          <t>1200 - Bank</t>
        </is>
      </c>
      <c r="C127" t="inlineStr">
        <is>
          <t>Fin: PPOINT_*Hugh's Confect,Belfast</t>
        </is>
      </c>
      <c r="D127" t="inlineStr"/>
      <c r="E127" s="5" t="n"/>
      <c r="F127" s="5" t="n">
        <v>2.6</v>
      </c>
      <c r="G127" s="5">
        <f>G126+E127-F127</f>
        <v/>
      </c>
    </row>
    <row r="128">
      <c r="A128" s="3" t="inlineStr">
        <is>
          <t>08/07/2024</t>
        </is>
      </c>
      <c r="B128" s="3" t="inlineStr">
        <is>
          <t>1200 - Bank</t>
        </is>
      </c>
      <c r="C128" s="3" t="inlineStr">
        <is>
          <t>Fin: WINEMARK,470 OLDPARK ROAD,BELFAST</t>
        </is>
      </c>
      <c r="D128" s="3" t="inlineStr"/>
      <c r="E128" s="4" t="n"/>
      <c r="F128" s="4" t="n">
        <v>16.58</v>
      </c>
      <c r="G128" s="4">
        <f>G127+E128-F128</f>
        <v/>
      </c>
    </row>
    <row r="129">
      <c r="A129" t="inlineStr">
        <is>
          <t>08/07/2024</t>
        </is>
      </c>
      <c r="B129" t="inlineStr">
        <is>
          <t>1200 - Bank</t>
        </is>
      </c>
      <c r="C129" t="inlineStr">
        <is>
          <t>Fin: WINEMARK,470 OLDPARK ROAD,BELFAST</t>
        </is>
      </c>
      <c r="D129" t="inlineStr"/>
      <c r="E129" s="5" t="n"/>
      <c r="F129" s="5" t="n">
        <v>8.779999999999999</v>
      </c>
      <c r="G129" s="5">
        <f>G128+E129-F129</f>
        <v/>
      </c>
    </row>
    <row r="130">
      <c r="A130" s="3" t="inlineStr">
        <is>
          <t>08/07/2024</t>
        </is>
      </c>
      <c r="B130" s="3" t="inlineStr">
        <is>
          <t>1200 - Bank</t>
        </is>
      </c>
      <c r="C130" s="3" t="inlineStr">
        <is>
          <t>Fin: WWW.AMAZON* 205-697548,1 Prin,LONDO</t>
        </is>
      </c>
      <c r="D130" s="3" t="inlineStr"/>
      <c r="E130" s="4" t="n"/>
      <c r="F130" s="4" t="n">
        <v>5.15</v>
      </c>
      <c r="G130" s="4">
        <f>G129+E130-F130</f>
        <v/>
      </c>
    </row>
    <row r="131">
      <c r="A131" t="inlineStr">
        <is>
          <t>08/07/2024</t>
        </is>
      </c>
      <c r="B131" t="inlineStr">
        <is>
          <t>1200 - Bank</t>
        </is>
      </c>
      <c r="C131" t="inlineStr">
        <is>
          <t>G LECKEY 1006862278 gary le</t>
        </is>
      </c>
      <c r="D131" t="inlineStr"/>
      <c r="E131" s="5" t="n">
        <v>34</v>
      </c>
      <c r="F131" s="5" t="n"/>
      <c r="G131" s="5">
        <f>G130+E131-F131</f>
        <v/>
      </c>
    </row>
    <row r="132">
      <c r="A132" s="3" t="inlineStr">
        <is>
          <t>09/07/2024</t>
        </is>
      </c>
      <c r="B132" s="3" t="inlineStr">
        <is>
          <t>1200 - Bank</t>
        </is>
      </c>
      <c r="C132" s="3" t="inlineStr">
        <is>
          <t>BROWN T TINA</t>
        </is>
      </c>
      <c r="D132" s="3" t="inlineStr"/>
      <c r="E132" s="4" t="n">
        <v>20</v>
      </c>
      <c r="F132" s="4" t="n"/>
      <c r="G132" s="4">
        <f>G131+E132-F132</f>
        <v/>
      </c>
    </row>
    <row r="133">
      <c r="A133" t="inlineStr">
        <is>
          <t>09/07/2024</t>
        </is>
      </c>
      <c r="B133" t="inlineStr">
        <is>
          <t>1200 - Bank</t>
        </is>
      </c>
      <c r="C133" t="inlineStr">
        <is>
          <t>BROWN T TINA</t>
        </is>
      </c>
      <c r="D133" t="inlineStr"/>
      <c r="E133" s="5" t="n">
        <v>20</v>
      </c>
      <c r="F133" s="5" t="n"/>
      <c r="G133" s="5">
        <f>G132+E133-F133</f>
        <v/>
      </c>
    </row>
    <row r="134">
      <c r="A134" s="3" t="inlineStr">
        <is>
          <t>09/07/2024</t>
        </is>
      </c>
      <c r="B134" s="3" t="inlineStr">
        <is>
          <t>1200 - Bank</t>
        </is>
      </c>
      <c r="C134" s="3" t="inlineStr">
        <is>
          <t>Fin: BOOKER LTD - 38621844,WELLINGBOROUG</t>
        </is>
      </c>
      <c r="D134" s="3" t="inlineStr"/>
      <c r="E134" s="4" t="n"/>
      <c r="F134" s="4" t="n">
        <v>40.2</v>
      </c>
      <c r="G134" s="4">
        <f>G133+E134-F134</f>
        <v/>
      </c>
    </row>
    <row r="135">
      <c r="A135" t="inlineStr">
        <is>
          <t>09/07/2024</t>
        </is>
      </c>
      <c r="B135" t="inlineStr">
        <is>
          <t>1200 - Bank</t>
        </is>
      </c>
      <c r="C135" t="inlineStr">
        <is>
          <t>Fin: BURGER KING KENNEDY WA,BELFAST</t>
        </is>
      </c>
      <c r="D135" t="inlineStr"/>
      <c r="E135" s="5" t="n"/>
      <c r="F135" s="5" t="n">
        <v>6.98</v>
      </c>
      <c r="G135" s="5">
        <f>G134+E135-F135</f>
        <v/>
      </c>
    </row>
    <row r="136">
      <c r="A136" s="3" t="inlineStr">
        <is>
          <t>09/07/2024</t>
        </is>
      </c>
      <c r="B136" s="3" t="inlineStr">
        <is>
          <t>1200 - Bank</t>
        </is>
      </c>
      <c r="C136" s="3" t="inlineStr">
        <is>
          <t>Fin: CO-OP GROUP 140006,Old Park Road</t>
        </is>
      </c>
      <c r="D136" s="3" t="inlineStr"/>
      <c r="E136" s="4" t="n"/>
      <c r="F136" s="4" t="n">
        <v>1.85</v>
      </c>
      <c r="G136" s="4">
        <f>G135+E136-F136</f>
        <v/>
      </c>
    </row>
    <row r="137">
      <c r="A137" t="inlineStr">
        <is>
          <t>09/07/2024</t>
        </is>
      </c>
      <c r="B137" t="inlineStr">
        <is>
          <t>1200 - Bank</t>
        </is>
      </c>
      <c r="C137" t="inlineStr">
        <is>
          <t>Fin: Carrigagh Limited,Unit 57 Ke,Belfas</t>
        </is>
      </c>
      <c r="D137" t="inlineStr"/>
      <c r="E137" s="5" t="n"/>
      <c r="F137" s="5" t="n">
        <v>2.45</v>
      </c>
      <c r="G137" s="5">
        <f>G136+E137-F137</f>
        <v/>
      </c>
    </row>
    <row r="138">
      <c r="A138" s="3" t="inlineStr">
        <is>
          <t>09/07/2024</t>
        </is>
      </c>
      <c r="B138" s="3" t="inlineStr">
        <is>
          <t>1200 - Bank</t>
        </is>
      </c>
      <c r="C138" s="3" t="inlineStr">
        <is>
          <t>Fin: Carrigagh Limited,Unit 57 Ke,Belfas</t>
        </is>
      </c>
      <c r="D138" s="3" t="inlineStr"/>
      <c r="E138" s="4" t="n"/>
      <c r="F138" s="4" t="n">
        <v>2.5</v>
      </c>
      <c r="G138" s="4">
        <f>G137+E138-F138</f>
        <v/>
      </c>
    </row>
    <row r="139">
      <c r="A139" t="inlineStr">
        <is>
          <t>09/07/2024</t>
        </is>
      </c>
      <c r="B139" t="inlineStr">
        <is>
          <t>1200 - Bank</t>
        </is>
      </c>
      <c r="C139" t="inlineStr">
        <is>
          <t>Fin: Carrigagh Limited,Unit 57 Ke,Belfas</t>
        </is>
      </c>
      <c r="D139" t="inlineStr"/>
      <c r="E139" s="5" t="n"/>
      <c r="F139" s="5" t="n">
        <v>6.95</v>
      </c>
      <c r="G139" s="5">
        <f>G138+E139-F139</f>
        <v/>
      </c>
    </row>
    <row r="140">
      <c r="A140" s="3" t="inlineStr">
        <is>
          <t>09/07/2024</t>
        </is>
      </c>
      <c r="B140" s="3" t="inlineStr">
        <is>
          <t>1200 - Bank</t>
        </is>
      </c>
      <c r="C140" s="3" t="inlineStr">
        <is>
          <t>Fin: ChangeGroup UK Blacks,111-12,Belfas</t>
        </is>
      </c>
      <c r="D140" s="3" t="inlineStr"/>
      <c r="E140" s="4" t="n"/>
      <c r="F140" s="4" t="n">
        <v>300</v>
      </c>
      <c r="G140" s="4">
        <f>G139+E140-F140</f>
        <v/>
      </c>
    </row>
    <row r="141">
      <c r="A141" t="inlineStr">
        <is>
          <t>09/07/2024</t>
        </is>
      </c>
      <c r="B141" t="inlineStr">
        <is>
          <t>1200 - Bank</t>
        </is>
      </c>
      <c r="C141" t="inlineStr">
        <is>
          <t>Fin: SumUp *Toys Galore,120 Moun,Belfas</t>
        </is>
      </c>
      <c r="D141" t="inlineStr"/>
      <c r="E141" s="5" t="n"/>
      <c r="F141" s="5" t="n">
        <v>9.99</v>
      </c>
      <c r="G141" s="5">
        <f>G140+E141-F141</f>
        <v/>
      </c>
    </row>
    <row r="142">
      <c r="A142" s="3" t="inlineStr">
        <is>
          <t>09/07/2024</t>
        </is>
      </c>
      <c r="B142" s="3" t="inlineStr">
        <is>
          <t>1200 - Bank</t>
        </is>
      </c>
      <c r="C142" s="3" t="inlineStr">
        <is>
          <t>tina brown tina</t>
        </is>
      </c>
      <c r="D142" s="3" t="inlineStr"/>
      <c r="E142" s="4" t="n"/>
      <c r="F142" s="4" t="n">
        <v>9.52</v>
      </c>
      <c r="G142" s="4">
        <f>G141+E142-F142</f>
        <v/>
      </c>
    </row>
    <row r="143">
      <c r="A143" t="inlineStr">
        <is>
          <t>10/07/2024</t>
        </is>
      </c>
      <c r="B143" t="inlineStr">
        <is>
          <t>1200 - Bank</t>
        </is>
      </c>
      <c r="C143" t="inlineStr">
        <is>
          <t>BPDebitFee 09-07-24 176125095</t>
        </is>
      </c>
      <c r="D143" t="inlineStr"/>
      <c r="E143" s="5" t="n"/>
      <c r="F143" s="5" t="n">
        <v>0.3</v>
      </c>
      <c r="G143" s="5">
        <f>G142+E143-F143</f>
        <v/>
      </c>
    </row>
    <row r="144">
      <c r="A144" s="3" t="inlineStr">
        <is>
          <t>10/07/2024</t>
        </is>
      </c>
      <c r="B144" s="3" t="inlineStr">
        <is>
          <t>1200 - Bank</t>
        </is>
      </c>
      <c r="C144" s="3" t="inlineStr">
        <is>
          <t>BROWN T TINA</t>
        </is>
      </c>
      <c r="D144" s="3" t="inlineStr"/>
      <c r="E144" s="4" t="n">
        <v>20</v>
      </c>
      <c r="F144" s="4" t="n"/>
      <c r="G144" s="4">
        <f>G143+E144-F144</f>
        <v/>
      </c>
    </row>
    <row r="145">
      <c r="A145" t="inlineStr">
        <is>
          <t>10/07/2024</t>
        </is>
      </c>
      <c r="B145" t="inlineStr">
        <is>
          <t>1200 - Bank</t>
        </is>
      </c>
      <c r="C145" t="inlineStr">
        <is>
          <t>BROWN T TINA</t>
        </is>
      </c>
      <c r="D145" t="inlineStr"/>
      <c r="E145" s="5" t="n">
        <v>200</v>
      </c>
      <c r="F145" s="5" t="n"/>
      <c r="G145" s="5">
        <f>G144+E145-F145</f>
        <v/>
      </c>
    </row>
    <row r="146">
      <c r="A146" s="3" t="inlineStr">
        <is>
          <t>10/07/2024</t>
        </is>
      </c>
      <c r="B146" s="3" t="inlineStr">
        <is>
          <t>1200 - Bank</t>
        </is>
      </c>
      <c r="C146" s="3" t="inlineStr">
        <is>
          <t>BROWN T TINA</t>
        </is>
      </c>
      <c r="D146" s="3" t="inlineStr"/>
      <c r="E146" s="4" t="n">
        <v>70</v>
      </c>
      <c r="F146" s="4" t="n"/>
      <c r="G146" s="4">
        <f>G145+E146-F146</f>
        <v/>
      </c>
    </row>
    <row r="147">
      <c r="A147" t="inlineStr">
        <is>
          <t>10/07/2024</t>
        </is>
      </c>
      <c r="B147" t="inlineStr">
        <is>
          <t>1200 - Bank</t>
        </is>
      </c>
      <c r="C147" t="inlineStr">
        <is>
          <t>CSR NI LTD THE CSR GROUP</t>
        </is>
      </c>
      <c r="D147" t="inlineStr"/>
      <c r="E147" s="5" t="n">
        <v>2130.7</v>
      </c>
      <c r="F147" s="5" t="n"/>
      <c r="G147" s="5">
        <f>G146+E147-F147</f>
        <v/>
      </c>
    </row>
    <row r="148">
      <c r="A148" s="3" t="inlineStr">
        <is>
          <t>10/07/2024</t>
        </is>
      </c>
      <c r="B148" s="3" t="inlineStr">
        <is>
          <t>1200 - Bank</t>
        </is>
      </c>
      <c r="C148" s="3" t="inlineStr">
        <is>
          <t>Fin: ChangeGroup UK Falls,155 Nor,Belfas</t>
        </is>
      </c>
      <c r="D148" s="3" t="inlineStr"/>
      <c r="E148" s="4" t="n"/>
      <c r="F148" s="4" t="n">
        <v>10</v>
      </c>
      <c r="G148" s="4">
        <f>G147+E148-F148</f>
        <v/>
      </c>
    </row>
    <row r="149">
      <c r="A149" t="inlineStr">
        <is>
          <t>10/07/2024</t>
        </is>
      </c>
      <c r="B149" t="inlineStr">
        <is>
          <t>1200 - Bank</t>
        </is>
      </c>
      <c r="C149" t="inlineStr">
        <is>
          <t>Fin: LANDSCAPE FILLING STAT,BELFAST</t>
        </is>
      </c>
      <c r="D149" t="inlineStr"/>
      <c r="E149" s="5" t="n"/>
      <c r="F149" s="5" t="n">
        <v>12.6</v>
      </c>
      <c r="G149" s="5">
        <f>G148+E149-F149</f>
        <v/>
      </c>
    </row>
    <row r="150">
      <c r="A150" s="3" t="inlineStr">
        <is>
          <t>10/07/2024</t>
        </is>
      </c>
      <c r="B150" s="3" t="inlineStr">
        <is>
          <t>1200 - Bank</t>
        </is>
      </c>
      <c r="C150" s="3" t="inlineStr">
        <is>
          <t>Fin: MAXOL EDENDERRY SSTN,298 CRU,BELFAS</t>
        </is>
      </c>
      <c r="D150" s="3" t="inlineStr"/>
      <c r="E150" s="4" t="n"/>
      <c r="F150" s="4" t="n">
        <v>10</v>
      </c>
      <c r="G150" s="4">
        <f>G149+E150-F150</f>
        <v/>
      </c>
    </row>
    <row r="151">
      <c r="A151" t="inlineStr">
        <is>
          <t>10/07/2024</t>
        </is>
      </c>
      <c r="B151" t="inlineStr">
        <is>
          <t>1200 - Bank</t>
        </is>
      </c>
      <c r="C151" t="inlineStr">
        <is>
          <t>Fin: MCDONALDS,KENNEDY WAY,BELFAST</t>
        </is>
      </c>
      <c r="D151" t="inlineStr"/>
      <c r="E151" s="5" t="n"/>
      <c r="F151" s="5" t="n">
        <v>6.73</v>
      </c>
      <c r="G151" s="5">
        <f>G150+E151-F151</f>
        <v/>
      </c>
    </row>
    <row r="152">
      <c r="A152" s="3" t="inlineStr">
        <is>
          <t>11/07/2024</t>
        </is>
      </c>
      <c r="B152" s="3" t="inlineStr">
        <is>
          <t>1200 - Bank</t>
        </is>
      </c>
      <c r="C152" s="3" t="inlineStr">
        <is>
          <t>Fee: Card Management</t>
        </is>
      </c>
      <c r="D152" s="3" t="inlineStr"/>
      <c r="E152" s="4" t="n"/>
      <c r="F152" s="4" t="n">
        <v>9</v>
      </c>
      <c r="G152" s="4">
        <f>G151+E152-F152</f>
        <v/>
      </c>
    </row>
    <row r="153">
      <c r="A153" t="inlineStr">
        <is>
          <t>11/07/2024</t>
        </is>
      </c>
      <c r="B153" t="inlineStr">
        <is>
          <t>1200 - Bank</t>
        </is>
      </c>
      <c r="C153" t="inlineStr">
        <is>
          <t>Fin: CASTLE COURT,Royal Avenue,Belfast</t>
        </is>
      </c>
      <c r="D153" t="inlineStr"/>
      <c r="E153" s="5" t="n"/>
      <c r="F153" s="5" t="n">
        <v>4.4</v>
      </c>
      <c r="G153" s="5">
        <f>G152+E153-F153</f>
        <v/>
      </c>
    </row>
    <row r="154">
      <c r="A154" s="3" t="inlineStr">
        <is>
          <t>11/07/2024</t>
        </is>
      </c>
      <c r="B154" s="3" t="inlineStr">
        <is>
          <t>1200 - Bank</t>
        </is>
      </c>
      <c r="C154" s="3" t="inlineStr">
        <is>
          <t>Fin: E01604100000000,MCPEAKES 1 S,BELFAS</t>
        </is>
      </c>
      <c r="D154" s="3" t="inlineStr"/>
      <c r="E154" s="4" t="n"/>
      <c r="F154" s="4" t="n">
        <v>31.99</v>
      </c>
      <c r="G154" s="4">
        <f>G153+E154-F154</f>
        <v/>
      </c>
    </row>
    <row r="155">
      <c r="A155" t="inlineStr">
        <is>
          <t>11/07/2024</t>
        </is>
      </c>
      <c r="B155" t="inlineStr">
        <is>
          <t>1200 - Bank</t>
        </is>
      </c>
      <c r="C155" t="inlineStr">
        <is>
          <t>Fin: Hobbycraft,Unit 17B Boucher ,Belfas</t>
        </is>
      </c>
      <c r="D155" t="inlineStr"/>
      <c r="E155" s="5" t="n"/>
      <c r="F155" s="5" t="n">
        <v>18.6</v>
      </c>
      <c r="G155" s="5">
        <f>G154+E155-F155</f>
        <v/>
      </c>
    </row>
    <row r="156">
      <c r="A156" s="3" t="inlineStr">
        <is>
          <t>11/07/2024</t>
        </is>
      </c>
      <c r="B156" s="3" t="inlineStr">
        <is>
          <t>1200 - Bank</t>
        </is>
      </c>
      <c r="C156" s="3" t="inlineStr">
        <is>
          <t>Fin: LANARK WAY FILLING STA,BELFAST</t>
        </is>
      </c>
      <c r="D156" s="3" t="inlineStr"/>
      <c r="E156" s="4" t="n"/>
      <c r="F156" s="4" t="n">
        <v>11.16</v>
      </c>
      <c r="G156" s="4">
        <f>G155+E156-F156</f>
        <v/>
      </c>
    </row>
    <row r="157">
      <c r="A157" t="inlineStr">
        <is>
          <t>11/07/2024</t>
        </is>
      </c>
      <c r="B157" t="inlineStr">
        <is>
          <t>1200 - Bank</t>
        </is>
      </c>
      <c r="C157" t="inlineStr">
        <is>
          <t>Fin: MATALAN STORE 318,UNIT 70 CA,BELFAS</t>
        </is>
      </c>
      <c r="D157" t="inlineStr"/>
      <c r="E157" s="5" t="n"/>
      <c r="F157" s="5" t="n">
        <v>82.25</v>
      </c>
      <c r="G157" s="5">
        <f>G156+E157-F157</f>
        <v/>
      </c>
    </row>
    <row r="158">
      <c r="A158" s="3" t="inlineStr">
        <is>
          <t>11/07/2024</t>
        </is>
      </c>
      <c r="B158" s="3" t="inlineStr">
        <is>
          <t>1200 - Bank</t>
        </is>
      </c>
      <c r="C158" s="3" t="inlineStr">
        <is>
          <t>Fin: MAXOL EDENDERRY SSTN,298 CRU,BELFAS</t>
        </is>
      </c>
      <c r="D158" s="3" t="inlineStr"/>
      <c r="E158" s="4" t="n"/>
      <c r="F158" s="4" t="n">
        <v>10</v>
      </c>
      <c r="G158" s="4">
        <f>G157+E158-F158</f>
        <v/>
      </c>
    </row>
    <row r="159">
      <c r="A159" t="inlineStr">
        <is>
          <t>11/07/2024</t>
        </is>
      </c>
      <c r="B159" t="inlineStr">
        <is>
          <t>1200 - Bank</t>
        </is>
      </c>
      <c r="C159" t="inlineStr">
        <is>
          <t>Fin: STARBUCKS,CASTLE COU,BELFAST</t>
        </is>
      </c>
      <c r="D159" t="inlineStr"/>
      <c r="E159" s="5" t="n"/>
      <c r="F159" s="5" t="n">
        <v>19</v>
      </c>
      <c r="G159" s="5">
        <f>G158+E159-F159</f>
        <v/>
      </c>
    </row>
    <row r="160">
      <c r="A160" s="3" t="inlineStr">
        <is>
          <t>11/07/2024</t>
        </is>
      </c>
      <c r="B160" s="3" t="inlineStr">
        <is>
          <t>1200 - Bank</t>
        </is>
      </c>
      <c r="C160" s="3" t="inlineStr">
        <is>
          <t>Fin: Schuh Belfast,Unit 1A Castle,Belfas</t>
        </is>
      </c>
      <c r="D160" s="3" t="inlineStr"/>
      <c r="E160" s="4" t="n"/>
      <c r="F160" s="4" t="n">
        <v>93.25</v>
      </c>
      <c r="G160" s="4">
        <f>G159+E160-F160</f>
        <v/>
      </c>
    </row>
    <row r="161">
      <c r="A161" t="inlineStr">
        <is>
          <t>11/07/2024</t>
        </is>
      </c>
      <c r="B161" t="inlineStr">
        <is>
          <t>1200 - Bank</t>
        </is>
      </c>
      <c r="C161" t="inlineStr">
        <is>
          <t>Fin: Schuh,Neilson Square,Livingston</t>
        </is>
      </c>
      <c r="D161" t="inlineStr"/>
      <c r="E161" s="5" t="n"/>
      <c r="F161" s="5" t="n">
        <v>54.99</v>
      </c>
      <c r="G161" s="5">
        <f>G160+E161-F161</f>
        <v/>
      </c>
    </row>
    <row r="162">
      <c r="A162" s="3" t="inlineStr">
        <is>
          <t>11/07/2024</t>
        </is>
      </c>
      <c r="B162" s="3" t="inlineStr">
        <is>
          <t>1200 - Bank</t>
        </is>
      </c>
      <c r="C162" s="3" t="inlineStr">
        <is>
          <t>Fin: WARREN JAMES,UNIT 8,BELFAST</t>
        </is>
      </c>
      <c r="D162" s="3" t="inlineStr"/>
      <c r="E162" s="4" t="n"/>
      <c r="F162" s="4" t="n">
        <v>875</v>
      </c>
      <c r="G162" s="4">
        <f>G161+E162-F162</f>
        <v/>
      </c>
    </row>
    <row r="163">
      <c r="A163" t="inlineStr">
        <is>
          <t>12/07/2024</t>
        </is>
      </c>
      <c r="B163" t="inlineStr">
        <is>
          <t>1200 - Bank</t>
        </is>
      </c>
      <c r="C163" t="inlineStr">
        <is>
          <t>CSR NI LTD THE CSR GROUP</t>
        </is>
      </c>
      <c r="D163" t="inlineStr"/>
      <c r="E163" s="5" t="n">
        <v>774.8</v>
      </c>
      <c r="F163" s="5" t="n"/>
      <c r="G163" s="5">
        <f>G162+E163-F163</f>
        <v/>
      </c>
    </row>
    <row r="164">
      <c r="A164" s="3" t="inlineStr">
        <is>
          <t>12/07/2024</t>
        </is>
      </c>
      <c r="B164" s="3" t="inlineStr">
        <is>
          <t>1200 - Bank</t>
        </is>
      </c>
      <c r="C164" s="3" t="inlineStr">
        <is>
          <t>Fin: Aelia,Airport Rd,Belfast</t>
        </is>
      </c>
      <c r="D164" s="3" t="inlineStr"/>
      <c r="E164" s="4" t="n"/>
      <c r="F164" s="4" t="n">
        <v>54.59</v>
      </c>
      <c r="G164" s="4">
        <f>G163+E164-F164</f>
        <v/>
      </c>
    </row>
    <row r="165">
      <c r="A165" t="inlineStr">
        <is>
          <t>12/07/2024</t>
        </is>
      </c>
      <c r="B165" t="inlineStr">
        <is>
          <t>1200 - Bank</t>
        </is>
      </c>
      <c r="C165" t="inlineStr">
        <is>
          <t>Fin: BEACH SPORT CLUB LA RE,SAN JAVIER</t>
        </is>
      </c>
      <c r="D165" t="inlineStr"/>
      <c r="E165" s="5" t="n"/>
      <c r="F165" s="5" t="n">
        <v>106.9</v>
      </c>
      <c r="G165" s="5">
        <f>G164+E165-F165</f>
        <v/>
      </c>
    </row>
    <row r="166">
      <c r="A166" s="3" t="inlineStr">
        <is>
          <t>12/07/2024</t>
        </is>
      </c>
      <c r="B166" s="3" t="inlineStr">
        <is>
          <t>1200 - Bank</t>
        </is>
      </c>
      <c r="C166" s="3" t="inlineStr">
        <is>
          <t>Fin: BEACH SPORT CLUB LA RE,SAN JAVIER 15 EUR XR 1.182033</t>
        </is>
      </c>
      <c r="D166" s="3" t="inlineStr"/>
      <c r="E166" s="4" t="n"/>
      <c r="F166" s="4" t="n">
        <v>12.69</v>
      </c>
      <c r="G166" s="4">
        <f>G165+E166-F166</f>
        <v/>
      </c>
    </row>
    <row r="167">
      <c r="A167" t="inlineStr">
        <is>
          <t>12/07/2024</t>
        </is>
      </c>
      <c r="B167" t="inlineStr">
        <is>
          <t>1200 - Bank</t>
        </is>
      </c>
      <c r="C167" t="inlineStr">
        <is>
          <t>Fin: BEACH SPORT CLUB LA RE,SAN JAVIER 15 EUR XR 1.185771</t>
        </is>
      </c>
      <c r="D167" t="inlineStr"/>
      <c r="E167" s="5" t="n"/>
      <c r="F167" s="5" t="n">
        <v>12.65</v>
      </c>
      <c r="G167" s="5">
        <f>G166+E167-F167</f>
        <v/>
      </c>
    </row>
    <row r="168">
      <c r="A168" s="3" t="inlineStr">
        <is>
          <t>12/07/2024</t>
        </is>
      </c>
      <c r="B168" s="3" t="inlineStr">
        <is>
          <t>1200 - Bank</t>
        </is>
      </c>
      <c r="C168" s="3" t="inlineStr">
        <is>
          <t>Fin: BEACH SPORT CLUB LA RE,SAN JAVIER 2.50 EUR XR 1.184834</t>
        </is>
      </c>
      <c r="D168" s="3" t="inlineStr"/>
      <c r="E168" s="4" t="n"/>
      <c r="F168" s="4" t="n">
        <v>2.11</v>
      </c>
      <c r="G168" s="4">
        <f>G167+E168-F168</f>
        <v/>
      </c>
    </row>
    <row r="169">
      <c r="A169" t="inlineStr">
        <is>
          <t>12/07/2024</t>
        </is>
      </c>
      <c r="B169" t="inlineStr">
        <is>
          <t>1200 - Bank</t>
        </is>
      </c>
      <c r="C169" t="inlineStr">
        <is>
          <t>Fin: BEACH SPORT CLUB LA RE,SAN JAVIER 22 EUR XR 1.181525</t>
        </is>
      </c>
      <c r="D169" t="inlineStr"/>
      <c r="E169" s="5" t="n"/>
      <c r="F169" s="5" t="n">
        <v>18.62</v>
      </c>
      <c r="G169" s="5">
        <f>G168+E169-F169</f>
        <v/>
      </c>
    </row>
    <row r="170">
      <c r="A170" s="3" t="inlineStr">
        <is>
          <t>12/07/2024</t>
        </is>
      </c>
      <c r="B170" s="3" t="inlineStr">
        <is>
          <t>1200 - Bank</t>
        </is>
      </c>
      <c r="C170" s="3" t="inlineStr">
        <is>
          <t>Fin: BEACH SPORT CLUB LA RE,SAN JAVIER 4.50 EUR XR 1.181102</t>
        </is>
      </c>
      <c r="D170" s="3" t="inlineStr"/>
      <c r="E170" s="4" t="n"/>
      <c r="F170" s="4" t="n">
        <v>3.81</v>
      </c>
      <c r="G170" s="4">
        <f>G169+E170-F170</f>
        <v/>
      </c>
    </row>
    <row r="171">
      <c r="A171" t="inlineStr">
        <is>
          <t>12/07/2024</t>
        </is>
      </c>
      <c r="B171" t="inlineStr">
        <is>
          <t>1200 - Bank</t>
        </is>
      </c>
      <c r="C171" t="inlineStr">
        <is>
          <t>Fin: BEACH SPORT CLUB LA RE,SAN JAVIER 5 EUR XR 1.182033</t>
        </is>
      </c>
      <c r="D171" t="inlineStr"/>
      <c r="E171" s="5" t="n"/>
      <c r="F171" s="5" t="n">
        <v>4.23</v>
      </c>
      <c r="G171" s="5">
        <f>G170+E171-F171</f>
        <v/>
      </c>
    </row>
    <row r="172">
      <c r="A172" s="3" t="inlineStr">
        <is>
          <t>12/07/2024</t>
        </is>
      </c>
      <c r="B172" s="3" t="inlineStr">
        <is>
          <t>1200 - Bank</t>
        </is>
      </c>
      <c r="C172" s="3" t="inlineStr">
        <is>
          <t>Fin: BEACH SPORT CLUB LA RE,SAN JAVIER 9 EUR XR 1.185771</t>
        </is>
      </c>
      <c r="D172" s="3" t="inlineStr"/>
      <c r="E172" s="4" t="n"/>
      <c r="F172" s="4" t="n">
        <v>7.59</v>
      </c>
      <c r="G172" s="4">
        <f>G171+E172-F172</f>
        <v/>
      </c>
    </row>
    <row r="173">
      <c r="A173" t="inlineStr">
        <is>
          <t>12/07/2024</t>
        </is>
      </c>
      <c r="B173" t="inlineStr">
        <is>
          <t>1200 - Bank</t>
        </is>
      </c>
      <c r="C173" t="inlineStr">
        <is>
          <t>tina brown tina</t>
        </is>
      </c>
      <c r="D173" t="inlineStr"/>
      <c r="E173" s="5" t="n"/>
      <c r="F173" s="5" t="n">
        <v>750</v>
      </c>
      <c r="G173" s="5">
        <f>G172+E173-F173</f>
        <v/>
      </c>
    </row>
    <row r="174">
      <c r="A174" s="3" t="inlineStr">
        <is>
          <t>13/07/2024</t>
        </is>
      </c>
      <c r="B174" s="3" t="inlineStr">
        <is>
          <t>1200 - Bank</t>
        </is>
      </c>
      <c r="C174" s="3" t="inlineStr">
        <is>
          <t>BPDebitFee 12-07-24 176654218</t>
        </is>
      </c>
      <c r="D174" s="3" t="inlineStr"/>
      <c r="E174" s="4" t="n"/>
      <c r="F174" s="4" t="n">
        <v>0.3</v>
      </c>
      <c r="G174" s="4">
        <f>G173+E174-F174</f>
        <v/>
      </c>
    </row>
    <row r="175">
      <c r="A175" t="inlineStr">
        <is>
          <t>13/07/2024</t>
        </is>
      </c>
      <c r="B175" t="inlineStr">
        <is>
          <t>1200 - Bank</t>
        </is>
      </c>
      <c r="C175" t="inlineStr">
        <is>
          <t>Fin: BANCOSABADELL,CL FONTE,TORRE PACHEC 101.80 EUR XR 1.185513</t>
        </is>
      </c>
      <c r="D175" t="inlineStr"/>
      <c r="E175" s="5" t="n"/>
      <c r="F175" s="5" t="n">
        <v>85.87</v>
      </c>
      <c r="G175" s="5">
        <f>G174+E175-F175</f>
        <v/>
      </c>
    </row>
    <row r="176">
      <c r="A176" s="3" t="inlineStr">
        <is>
          <t>13/07/2024</t>
        </is>
      </c>
      <c r="B176" s="3" t="inlineStr">
        <is>
          <t>1200 - Bank</t>
        </is>
      </c>
      <c r="C176" s="3" t="inlineStr">
        <is>
          <t>Fin: CONSUM LOS ALCACERES,ALCAZAR CARTA 214.75 EUR XR 1.185547</t>
        </is>
      </c>
      <c r="D176" s="3" t="inlineStr"/>
      <c r="E176" s="4" t="n"/>
      <c r="F176" s="4" t="n">
        <v>181.14</v>
      </c>
      <c r="G176" s="4">
        <f>G175+E176-F176</f>
        <v/>
      </c>
    </row>
    <row r="177">
      <c r="A177" t="inlineStr">
        <is>
          <t>13/07/2024</t>
        </is>
      </c>
      <c r="B177" t="inlineStr">
        <is>
          <t>1200 - Bank</t>
        </is>
      </c>
      <c r="C177" t="inlineStr">
        <is>
          <t>Fin: EASYJET I,BUILDING 319 WO,MANCHESTE 3 EUR XR 1.181102</t>
        </is>
      </c>
      <c r="D177" t="inlineStr"/>
      <c r="E177" s="5" t="n"/>
      <c r="F177" s="5" t="n">
        <v>2.54</v>
      </c>
      <c r="G177" s="5">
        <f>G176+E177-F177</f>
        <v/>
      </c>
    </row>
    <row r="178">
      <c r="A178" s="3" t="inlineStr">
        <is>
          <t>13/07/2024</t>
        </is>
      </c>
      <c r="B178" s="3" t="inlineStr">
        <is>
          <t>1200 - Bank</t>
        </is>
      </c>
      <c r="C178" s="3" t="inlineStr">
        <is>
          <t>Fin: EASYJET I,BUILDING 319 WO,MANCHESTE 39.40 EUR XR 1.181764</t>
        </is>
      </c>
      <c r="D178" s="3" t="inlineStr"/>
      <c r="E178" s="4" t="n"/>
      <c r="F178" s="4" t="n">
        <v>33.34</v>
      </c>
      <c r="G178" s="4">
        <f>G177+E178-F178</f>
        <v/>
      </c>
    </row>
    <row r="179">
      <c r="A179" t="inlineStr">
        <is>
          <t>13/07/2024</t>
        </is>
      </c>
      <c r="B179" t="inlineStr">
        <is>
          <t>1200 - Bank</t>
        </is>
      </c>
      <c r="C179" t="inlineStr">
        <is>
          <t>Fin: EASYJET I,BUILDING 319 WO,MANCHESTE 66.70 EUR XR 1.181577</t>
        </is>
      </c>
      <c r="D179" t="inlineStr"/>
      <c r="E179" s="5" t="n"/>
      <c r="F179" s="5" t="n">
        <v>56.45</v>
      </c>
      <c r="G179" s="5">
        <f>G178+E179-F179</f>
        <v/>
      </c>
    </row>
    <row r="180">
      <c r="A180" s="3" t="inlineStr">
        <is>
          <t>13/07/2024</t>
        </is>
      </c>
      <c r="B180" s="3" t="inlineStr">
        <is>
          <t>1200 - Bank</t>
        </is>
      </c>
      <c r="C180" s="3" t="inlineStr">
        <is>
          <t>Fin: EASYJET I,BUILDING 319 WO,MANCHESTE 8 EUR XR 1.181684</t>
        </is>
      </c>
      <c r="D180" s="3" t="inlineStr"/>
      <c r="E180" s="4" t="n"/>
      <c r="F180" s="4" t="n">
        <v>6.77</v>
      </c>
      <c r="G180" s="4">
        <f>G179+E180-F180</f>
        <v/>
      </c>
    </row>
    <row r="181">
      <c r="A181" t="inlineStr">
        <is>
          <t>13/07/2024</t>
        </is>
      </c>
      <c r="B181" t="inlineStr">
        <is>
          <t>1200 - Bank</t>
        </is>
      </c>
      <c r="C181" t="inlineStr">
        <is>
          <t>Fin: SIXTY SIX BAR,C. LILO,TORRE PACHEC 17.80 EUR XR 1.187458</t>
        </is>
      </c>
      <c r="D181" t="inlineStr"/>
      <c r="E181" s="5" t="n"/>
      <c r="F181" s="5" t="n">
        <v>14.99</v>
      </c>
      <c r="G181" s="5">
        <f>G180+E181-F181</f>
        <v/>
      </c>
    </row>
    <row r="182">
      <c r="A182" s="3" t="inlineStr">
        <is>
          <t>13/07/2024</t>
        </is>
      </c>
      <c r="B182" s="3" t="inlineStr">
        <is>
          <t>1200 - Bank</t>
        </is>
      </c>
      <c r="C182" s="3" t="inlineStr">
        <is>
          <t>Fin: TIPSY THISTLE,C. RIO ,LOS ALCAZARE 56.65 EUR XR 1.185643</t>
        </is>
      </c>
      <c r="D182" s="3" t="inlineStr"/>
      <c r="E182" s="4" t="n"/>
      <c r="F182" s="4" t="n">
        <v>47.78</v>
      </c>
      <c r="G182" s="4">
        <f>G181+E182-F182</f>
        <v/>
      </c>
    </row>
    <row r="183">
      <c r="A183" t="inlineStr">
        <is>
          <t>15/07/2024</t>
        </is>
      </c>
      <c r="B183" t="inlineStr">
        <is>
          <t>1200 - Bank</t>
        </is>
      </c>
      <c r="C183" t="inlineStr">
        <is>
          <t>Fin: BK 25828 LESLEY FOOD S,LOS ALCZARES 23.33 EUR XR 1.187277</t>
        </is>
      </c>
      <c r="D183" t="inlineStr"/>
      <c r="E183" s="5" t="n"/>
      <c r="F183" s="5" t="n">
        <v>19.65</v>
      </c>
      <c r="G183" s="5">
        <f>G182+E183-F183</f>
        <v/>
      </c>
    </row>
    <row r="184">
      <c r="A184" s="3" t="inlineStr">
        <is>
          <t>15/07/2024</t>
        </is>
      </c>
      <c r="B184" s="3" t="inlineStr">
        <is>
          <t>1200 - Bank</t>
        </is>
      </c>
      <c r="C184" s="3" t="inlineStr">
        <is>
          <t>Fin: BUBBLE WAFFLE DELICIAS,LOS ALCAZARE 8 EUR XR 1.186944</t>
        </is>
      </c>
      <c r="D184" s="3" t="inlineStr"/>
      <c r="E184" s="4" t="n"/>
      <c r="F184" s="4" t="n">
        <v>6.74</v>
      </c>
      <c r="G184" s="4">
        <f>G183+E184-F184</f>
        <v/>
      </c>
    </row>
    <row r="185">
      <c r="A185" t="inlineStr">
        <is>
          <t>15/07/2024</t>
        </is>
      </c>
      <c r="B185" t="inlineStr">
        <is>
          <t>1200 - Bank</t>
        </is>
      </c>
      <c r="C185" t="inlineStr">
        <is>
          <t>Fin: COMERCIO LOS ALCAZARES,LOS ALCAZARE 50 EUR XR 1.187085</t>
        </is>
      </c>
      <c r="D185" t="inlineStr"/>
      <c r="E185" s="5" t="n"/>
      <c r="F185" s="5" t="n">
        <v>42.12</v>
      </c>
      <c r="G185" s="5">
        <f>G184+E185-F185</f>
        <v/>
      </c>
    </row>
    <row r="186">
      <c r="A186" s="3" t="inlineStr">
        <is>
          <t>15/07/2024</t>
        </is>
      </c>
      <c r="B186" s="3" t="inlineStr">
        <is>
          <t>1200 - Bank</t>
        </is>
      </c>
      <c r="C186" s="3" t="inlineStr">
        <is>
          <t>Fin: ECONOMYCASH LOS ALCAZA,ONTINYENT 3 EUR XR 1.185771</t>
        </is>
      </c>
      <c r="D186" s="3" t="inlineStr"/>
      <c r="E186" s="4" t="n"/>
      <c r="F186" s="4" t="n">
        <v>2.53</v>
      </c>
      <c r="G186" s="4">
        <f>G185+E186-F186</f>
        <v/>
      </c>
    </row>
    <row r="187">
      <c r="A187" t="inlineStr">
        <is>
          <t>15/07/2024</t>
        </is>
      </c>
      <c r="B187" t="inlineStr">
        <is>
          <t>1200 - Bank</t>
        </is>
      </c>
      <c r="C187" t="inlineStr">
        <is>
          <t>Fin: EMPANADAS MALVON,C. CARME,CARTAGEN 8.85 EUR XR 1.186327</t>
        </is>
      </c>
      <c r="D187" t="inlineStr"/>
      <c r="E187" s="5" t="n"/>
      <c r="F187" s="5" t="n">
        <v>7.46</v>
      </c>
      <c r="G187" s="5">
        <f>G186+E187-F187</f>
        <v/>
      </c>
    </row>
    <row r="188">
      <c r="A188" s="3" t="inlineStr">
        <is>
          <t>15/07/2024</t>
        </is>
      </c>
      <c r="B188" s="3" t="inlineStr">
        <is>
          <t>1200 - Bank</t>
        </is>
      </c>
      <c r="C188" s="3" t="inlineStr">
        <is>
          <t>Fin: ENES4815,AV RIO NALON 3,LOSALCAZARE</t>
        </is>
      </c>
      <c r="D188" s="3" t="inlineStr"/>
      <c r="E188" s="4" t="n"/>
      <c r="F188" s="4" t="n">
        <v>42.06</v>
      </c>
      <c r="G188" s="4">
        <f>G187+E188-F188</f>
        <v/>
      </c>
    </row>
    <row r="189">
      <c r="A189" t="inlineStr">
        <is>
          <t>15/07/2024</t>
        </is>
      </c>
      <c r="B189" t="inlineStr">
        <is>
          <t>1200 - Bank</t>
        </is>
      </c>
      <c r="C189" t="inlineStr">
        <is>
          <t>Fin: FARMACIA HERNANDEZ MIJ,CARTAGENA 9.80 EUR XR 1.186441</t>
        </is>
      </c>
      <c r="D189" t="inlineStr"/>
      <c r="E189" s="5" t="n"/>
      <c r="F189" s="5" t="n">
        <v>8.26</v>
      </c>
      <c r="G189" s="5">
        <f>G188+E189-F189</f>
        <v/>
      </c>
    </row>
    <row r="190">
      <c r="A190" s="3" t="inlineStr">
        <is>
          <t>15/07/2024</t>
        </is>
      </c>
      <c r="B190" s="3" t="inlineStr">
        <is>
          <t>1200 - Bank</t>
        </is>
      </c>
      <c r="C190" s="3" t="inlineStr">
        <is>
          <t>Fin: GAME DOS MARES,CRTAN CRUC,SAN JAVIE 39.99 EUR XR 1.186999</t>
        </is>
      </c>
      <c r="D190" s="3" t="inlineStr"/>
      <c r="E190" s="4" t="n"/>
      <c r="F190" s="4" t="n">
        <v>33.69</v>
      </c>
      <c r="G190" s="4">
        <f>G189+E190-F190</f>
        <v/>
      </c>
    </row>
    <row r="191">
      <c r="A191" t="inlineStr">
        <is>
          <t>15/07/2024</t>
        </is>
      </c>
      <c r="B191" t="inlineStr">
        <is>
          <t>1200 - Bank</t>
        </is>
      </c>
      <c r="C191" t="inlineStr">
        <is>
          <t>Fin: LA CHOCOLATERIA,PL. AYUNTA,CARTAGEN 41.80 EUR XR 1.187163</t>
        </is>
      </c>
      <c r="D191" t="inlineStr"/>
      <c r="E191" s="5" t="n"/>
      <c r="F191" s="5" t="n">
        <v>35.21</v>
      </c>
      <c r="G191" s="5">
        <f>G190+E191-F191</f>
        <v/>
      </c>
    </row>
    <row r="192">
      <c r="A192" s="3" t="inlineStr">
        <is>
          <t>15/07/2024</t>
        </is>
      </c>
      <c r="B192" s="3" t="inlineStr">
        <is>
          <t>1200 - Bank</t>
        </is>
      </c>
      <c r="C192" s="3" t="inlineStr">
        <is>
          <t>Fin: MARVIMUNDO PERFUMERIAS,LOS ALCAZARE 28.35 EUR XR 1.187186</t>
        </is>
      </c>
      <c r="D192" s="3" t="inlineStr"/>
      <c r="E192" s="4" t="n"/>
      <c r="F192" s="4" t="n">
        <v>23.88</v>
      </c>
      <c r="G192" s="4">
        <f>G191+E192-F192</f>
        <v/>
      </c>
    </row>
    <row r="193">
      <c r="A193" t="inlineStr">
        <is>
          <t>15/07/2024</t>
        </is>
      </c>
      <c r="B193" t="inlineStr">
        <is>
          <t>1200 - Bank</t>
        </is>
      </c>
      <c r="C193" t="inlineStr">
        <is>
          <t>Fin: MARVIMUNDO PERFUMERIAS,LOS ALCAZARE 37.90 EUR XR 1.186972</t>
        </is>
      </c>
      <c r="D193" t="inlineStr"/>
      <c r="E193" s="5" t="n"/>
      <c r="F193" s="5" t="n">
        <v>31.93</v>
      </c>
      <c r="G193" s="5">
        <f>G192+E193-F193</f>
        <v/>
      </c>
    </row>
    <row r="194">
      <c r="A194" s="3" t="inlineStr">
        <is>
          <t>15/07/2024</t>
        </is>
      </c>
      <c r="B194" s="3" t="inlineStr">
        <is>
          <t>1200 - Bank</t>
        </is>
      </c>
      <c r="C194" s="3" t="inlineStr">
        <is>
          <t>Fin: MURCIA,C. PUERTA,CARTAGENA 3 EUR XR 1.185771</t>
        </is>
      </c>
      <c r="D194" s="3" t="inlineStr"/>
      <c r="E194" s="4" t="n"/>
      <c r="F194" s="4" t="n">
        <v>2.53</v>
      </c>
      <c r="G194" s="4">
        <f>G193+E194-F194</f>
        <v/>
      </c>
    </row>
    <row r="195">
      <c r="A195" t="inlineStr">
        <is>
          <t>15/07/2024</t>
        </is>
      </c>
      <c r="B195" t="inlineStr">
        <is>
          <t>1200 - Bank</t>
        </is>
      </c>
      <c r="C195" t="inlineStr">
        <is>
          <t>Fin: NYU NYU,C. PUERTA,CARTAGENA 14.95 EUR XR 1.187450</t>
        </is>
      </c>
      <c r="D195" t="inlineStr"/>
      <c r="E195" s="5" t="n"/>
      <c r="F195" s="5" t="n">
        <v>12.59</v>
      </c>
      <c r="G195" s="5">
        <f>G194+E195-F195</f>
        <v/>
      </c>
    </row>
    <row r="196">
      <c r="A196" s="3" t="inlineStr">
        <is>
          <t>15/07/2024</t>
        </is>
      </c>
      <c r="B196" s="3" t="inlineStr">
        <is>
          <t>1200 - Bank</t>
        </is>
      </c>
      <c r="C196" s="3" t="inlineStr">
        <is>
          <t>Fin: PARKING DEL PUERTO,PSO.ALF,CARTAGEN 7 EUR XR 1.186441</t>
        </is>
      </c>
      <c r="D196" s="3" t="inlineStr"/>
      <c r="E196" s="4" t="n"/>
      <c r="F196" s="4" t="n">
        <v>5.9</v>
      </c>
      <c r="G196" s="4">
        <f>G195+E196-F196</f>
        <v/>
      </c>
    </row>
    <row r="197">
      <c r="A197" t="inlineStr">
        <is>
          <t>15/07/2024</t>
        </is>
      </c>
      <c r="B197" t="inlineStr">
        <is>
          <t>1200 - Bank</t>
        </is>
      </c>
      <c r="C197" t="inlineStr">
        <is>
          <t>Fin: POLARIS,CRTAF30 DE,TORRE PACHECO 42.25 EUR XR 1.187131</t>
        </is>
      </c>
      <c r="D197" t="inlineStr"/>
      <c r="E197" s="5" t="n"/>
      <c r="F197" s="5" t="n">
        <v>35.59</v>
      </c>
      <c r="G197" s="5">
        <f>G196+E197-F197</f>
        <v/>
      </c>
    </row>
    <row r="198">
      <c r="A198" s="3" t="inlineStr">
        <is>
          <t>15/07/2024</t>
        </is>
      </c>
      <c r="B198" s="3" t="inlineStr">
        <is>
          <t>1200 - Bank</t>
        </is>
      </c>
      <c r="C198" s="3" t="inlineStr">
        <is>
          <t>Fin: RICO MEXICAN STEAK HOU,LOS ALCAZARE 104.10 EUR XR 1.187137</t>
        </is>
      </c>
      <c r="D198" s="3" t="inlineStr"/>
      <c r="E198" s="4" t="n"/>
      <c r="F198" s="4" t="n">
        <v>87.69</v>
      </c>
      <c r="G198" s="4">
        <f>G197+E198-F198</f>
        <v/>
      </c>
    </row>
    <row r="199">
      <c r="A199" t="inlineStr">
        <is>
          <t>15/07/2024</t>
        </is>
      </c>
      <c r="B199" t="inlineStr">
        <is>
          <t>1200 - Bank</t>
        </is>
      </c>
      <c r="C199" t="inlineStr">
        <is>
          <t>Fin: RICO MEXICAN STEAK HOU,LOS ALCAZARE 16.30 EUR XR 1.187181</t>
        </is>
      </c>
      <c r="D199" t="inlineStr"/>
      <c r="E199" s="5" t="n"/>
      <c r="F199" s="5" t="n">
        <v>13.73</v>
      </c>
      <c r="G199" s="5">
        <f>G198+E199-F199</f>
        <v/>
      </c>
    </row>
    <row r="200">
      <c r="A200" s="3" t="inlineStr">
        <is>
          <t>15/07/2024</t>
        </is>
      </c>
      <c r="B200" s="3" t="inlineStr">
        <is>
          <t>1200 - Bank</t>
        </is>
      </c>
      <c r="C200" s="3" t="inlineStr">
        <is>
          <t>Fin: SEVEN ASIA,CRTANACION,SAN JAVIER 28.50 EUR XR 1.187005</t>
        </is>
      </c>
      <c r="D200" s="3" t="inlineStr"/>
      <c r="E200" s="4" t="n"/>
      <c r="F200" s="4" t="n">
        <v>24.01</v>
      </c>
      <c r="G200" s="4">
        <f>G199+E200-F200</f>
        <v/>
      </c>
    </row>
    <row r="201">
      <c r="A201" t="inlineStr">
        <is>
          <t>15/07/2024</t>
        </is>
      </c>
      <c r="B201" t="inlineStr">
        <is>
          <t>1200 - Bank</t>
        </is>
      </c>
      <c r="C201" t="inlineStr">
        <is>
          <t>Fin: T 205,C. CRTA N,SAN JAVIER 1.80 EUR XR 1.184211</t>
        </is>
      </c>
      <c r="D201" t="inlineStr"/>
      <c r="E201" s="5" t="n"/>
      <c r="F201" s="5" t="n">
        <v>1.52</v>
      </c>
      <c r="G201" s="5">
        <f>G200+E201-F201</f>
        <v/>
      </c>
    </row>
    <row r="202">
      <c r="A202" s="3" t="inlineStr">
        <is>
          <t>15/07/2024</t>
        </is>
      </c>
      <c r="B202" s="3" t="inlineStr">
        <is>
          <t>1200 - Bank</t>
        </is>
      </c>
      <c r="C202" s="3" t="inlineStr">
        <is>
          <t>Fin: T 205,C. CRTA N,SAN JAVIER 5.50 EUR XR 1.187905</t>
        </is>
      </c>
      <c r="D202" s="3" t="inlineStr"/>
      <c r="E202" s="4" t="n"/>
      <c r="F202" s="4" t="n">
        <v>4.63</v>
      </c>
      <c r="G202" s="4">
        <f>G201+E202-F202</f>
        <v/>
      </c>
    </row>
    <row r="203">
      <c r="A203" t="inlineStr">
        <is>
          <t>15/07/2024</t>
        </is>
      </c>
      <c r="B203" t="inlineStr">
        <is>
          <t>1200 - Bank</t>
        </is>
      </c>
      <c r="C203" t="inlineStr">
        <is>
          <t>Fin: THE NORTHERN QUARTER,AIRPORT,BELFAS</t>
        </is>
      </c>
      <c r="D203" t="inlineStr"/>
      <c r="E203" s="5" t="n"/>
      <c r="F203" s="5" t="n">
        <v>27.96</v>
      </c>
      <c r="G203" s="5">
        <f>G202+E203-F203</f>
        <v/>
      </c>
    </row>
    <row r="204">
      <c r="A204" s="3" t="inlineStr">
        <is>
          <t>18/07/2024</t>
        </is>
      </c>
      <c r="B204" s="3" t="inlineStr">
        <is>
          <t>1200 - Bank</t>
        </is>
      </c>
      <c r="C204" s="3" t="inlineStr">
        <is>
          <t>tina brown tina</t>
        </is>
      </c>
      <c r="D204" s="3" t="inlineStr"/>
      <c r="E204" s="4" t="n"/>
      <c r="F204" s="4" t="n">
        <v>100</v>
      </c>
      <c r="G204" s="4">
        <f>G203+E204-F204</f>
        <v/>
      </c>
    </row>
    <row r="205">
      <c r="A205" t="inlineStr">
        <is>
          <t>19/07/2024</t>
        </is>
      </c>
      <c r="B205" t="inlineStr">
        <is>
          <t>1200 - Bank</t>
        </is>
      </c>
      <c r="C205" t="inlineStr">
        <is>
          <t>BPDebitFee 18-07-24 177415332</t>
        </is>
      </c>
      <c r="D205" t="inlineStr"/>
      <c r="E205" s="5" t="n"/>
      <c r="F205" s="5" t="n">
        <v>0.3</v>
      </c>
      <c r="G205" s="5">
        <f>G204+E205-F205</f>
        <v/>
      </c>
    </row>
    <row r="206">
      <c r="A206" s="3" t="inlineStr">
        <is>
          <t>20/07/2024</t>
        </is>
      </c>
      <c r="B206" s="3" t="inlineStr">
        <is>
          <t>1200 - Bank</t>
        </is>
      </c>
      <c r="C206" s="3" t="inlineStr">
        <is>
          <t>tina brown tina</t>
        </is>
      </c>
      <c r="D206" s="3" t="inlineStr"/>
      <c r="E206" s="4" t="n"/>
      <c r="F206" s="4" t="n">
        <v>20</v>
      </c>
      <c r="G206" s="4">
        <f>G205+E206-F206</f>
        <v/>
      </c>
    </row>
    <row r="207">
      <c r="A207" t="inlineStr">
        <is>
          <t>21/07/2024</t>
        </is>
      </c>
      <c r="B207" t="inlineStr">
        <is>
          <t>1200 - Bank</t>
        </is>
      </c>
      <c r="C207" t="inlineStr">
        <is>
          <t>BROWN T TINA</t>
        </is>
      </c>
      <c r="D207" t="inlineStr"/>
      <c r="E207" s="5" t="n">
        <v>1</v>
      </c>
      <c r="F207" s="5" t="n"/>
      <c r="G207" s="5">
        <f>G206+E207-F207</f>
        <v/>
      </c>
    </row>
    <row r="208">
      <c r="A208" s="3" t="inlineStr">
        <is>
          <t>21/07/2024</t>
        </is>
      </c>
      <c r="B208" s="3" t="inlineStr">
        <is>
          <t>1200 - Bank</t>
        </is>
      </c>
      <c r="C208" s="3" t="inlineStr">
        <is>
          <t>tina brown tina</t>
        </is>
      </c>
      <c r="D208" s="3" t="inlineStr"/>
      <c r="E208" s="4" t="n"/>
      <c r="F208" s="4" t="n">
        <v>1</v>
      </c>
      <c r="G208" s="4">
        <f>G207+E208-F208</f>
        <v/>
      </c>
    </row>
    <row r="209">
      <c r="A209" t="inlineStr">
        <is>
          <t>21/07/2024</t>
        </is>
      </c>
      <c r="B209" t="inlineStr">
        <is>
          <t>1200 - Bank</t>
        </is>
      </c>
      <c r="C209" t="inlineStr">
        <is>
          <t>tina brown tina</t>
        </is>
      </c>
      <c r="D209" t="inlineStr"/>
      <c r="E209" s="5" t="n"/>
      <c r="F209" s="5" t="n">
        <v>3</v>
      </c>
      <c r="G209" s="5">
        <f>G208+E209-F209</f>
        <v/>
      </c>
    </row>
    <row r="210">
      <c r="A210" s="3" t="inlineStr">
        <is>
          <t>23/07/2024</t>
        </is>
      </c>
      <c r="B210" s="3" t="inlineStr">
        <is>
          <t>1200 - Bank</t>
        </is>
      </c>
      <c r="C210" s="3" t="inlineStr">
        <is>
          <t>BPDebitFee 20-07-24 177705264</t>
        </is>
      </c>
      <c r="D210" s="3" t="inlineStr"/>
      <c r="E210" s="4" t="n"/>
      <c r="F210" s="4" t="n">
        <v>0.3</v>
      </c>
      <c r="G210" s="4">
        <f>G209+E210-F210</f>
        <v/>
      </c>
    </row>
    <row r="211">
      <c r="A211" t="inlineStr">
        <is>
          <t>23/07/2024</t>
        </is>
      </c>
      <c r="B211" t="inlineStr">
        <is>
          <t>1200 - Bank</t>
        </is>
      </c>
      <c r="C211" t="inlineStr">
        <is>
          <t>BPDebitFee 21-07-24 177747845</t>
        </is>
      </c>
      <c r="D211" t="inlineStr"/>
      <c r="E211" s="5" t="n"/>
      <c r="F211" s="5" t="n">
        <v>0.3</v>
      </c>
      <c r="G211" s="5">
        <f>G210+E211-F211</f>
        <v/>
      </c>
    </row>
    <row r="212">
      <c r="A212" s="3" t="inlineStr">
        <is>
          <t>23/07/2024</t>
        </is>
      </c>
      <c r="B212" s="3" t="inlineStr">
        <is>
          <t>1200 - Bank</t>
        </is>
      </c>
      <c r="C212" s="3" t="inlineStr">
        <is>
          <t>BPDebitFee 21-07-24 177756715</t>
        </is>
      </c>
      <c r="D212" s="3" t="inlineStr"/>
      <c r="E212" s="4" t="n"/>
      <c r="F212" s="4" t="n">
        <v>0.3</v>
      </c>
      <c r="G212" s="4">
        <f>G211+E212-F212</f>
        <v/>
      </c>
    </row>
    <row r="213">
      <c r="A213" t="inlineStr">
        <is>
          <t>24/07/2024</t>
        </is>
      </c>
      <c r="B213" t="inlineStr">
        <is>
          <t>1200 - Bank</t>
        </is>
      </c>
      <c r="C213" t="inlineStr">
        <is>
          <t>BROWN T TINA</t>
        </is>
      </c>
      <c r="D213" t="inlineStr"/>
      <c r="E213" s="5" t="n">
        <v>100</v>
      </c>
      <c r="F213" s="5" t="n"/>
      <c r="G213" s="5">
        <f>G212+E213-F213</f>
        <v/>
      </c>
    </row>
    <row r="214">
      <c r="A214" s="3" t="inlineStr">
        <is>
          <t>24/07/2024</t>
        </is>
      </c>
      <c r="B214" s="3" t="inlineStr">
        <is>
          <t>1200 - Bank</t>
        </is>
      </c>
      <c r="C214" s="3" t="inlineStr">
        <is>
          <t>Emmanuel quinn Grass cut</t>
        </is>
      </c>
      <c r="D214" s="3" t="inlineStr"/>
      <c r="E214" s="4" t="n"/>
      <c r="F214" s="4" t="n">
        <v>90</v>
      </c>
      <c r="G214" s="4">
        <f>G213+E214-F214</f>
        <v/>
      </c>
    </row>
    <row r="215">
      <c r="A215" t="inlineStr">
        <is>
          <t>25/07/2024</t>
        </is>
      </c>
      <c r="B215" t="inlineStr">
        <is>
          <t>1200 - Bank</t>
        </is>
      </c>
      <c r="C215" t="inlineStr">
        <is>
          <t>BPDebitFee 24-07-24 178208887</t>
        </is>
      </c>
      <c r="D215" t="inlineStr"/>
      <c r="E215" s="5" t="n"/>
      <c r="F215" s="5" t="n">
        <v>0.3</v>
      </c>
      <c r="G215" s="5">
        <f>G214+E215-F215</f>
        <v/>
      </c>
    </row>
    <row r="216">
      <c r="A216" s="3" t="inlineStr">
        <is>
          <t>27/07/2024</t>
        </is>
      </c>
      <c r="B216" s="3" t="inlineStr">
        <is>
          <t>1200 - Bank</t>
        </is>
      </c>
      <c r="C216" s="3" t="inlineStr">
        <is>
          <t>gary leckey gary</t>
        </is>
      </c>
      <c r="D216" s="3" t="inlineStr"/>
      <c r="E216" s="4" t="n"/>
      <c r="F216" s="4" t="n">
        <v>2</v>
      </c>
      <c r="G216" s="4">
        <f>G215+E216-F216</f>
        <v/>
      </c>
    </row>
    <row r="217">
      <c r="A217" t="inlineStr">
        <is>
          <t>27/07/2024</t>
        </is>
      </c>
      <c r="B217" t="inlineStr">
        <is>
          <t>1200 - Bank</t>
        </is>
      </c>
      <c r="C217" t="inlineStr">
        <is>
          <t>gary leckey gary</t>
        </is>
      </c>
      <c r="D217" t="inlineStr"/>
      <c r="E217" s="5" t="n"/>
      <c r="F217" s="5" t="n">
        <v>7</v>
      </c>
      <c r="G217" s="5">
        <f>G216+E217-F217</f>
        <v/>
      </c>
    </row>
    <row r="218">
      <c r="A218" s="3" t="inlineStr">
        <is>
          <t>29/07/2024</t>
        </is>
      </c>
      <c r="B218" s="3" t="inlineStr">
        <is>
          <t>1200 - Bank</t>
        </is>
      </c>
      <c r="C218" s="3" t="inlineStr">
        <is>
          <t>G LECKEY 1006862278 gary le</t>
        </is>
      </c>
      <c r="D218" s="3" t="inlineStr"/>
      <c r="E218" s="4" t="n">
        <v>40</v>
      </c>
      <c r="F218" s="4" t="n"/>
      <c r="G218" s="4">
        <f>G217+E218-F218</f>
        <v/>
      </c>
    </row>
    <row r="219">
      <c r="A219" t="inlineStr">
        <is>
          <t>29/07/2024</t>
        </is>
      </c>
      <c r="B219" t="inlineStr">
        <is>
          <t>1200 - Bank</t>
        </is>
      </c>
      <c r="C219" t="inlineStr">
        <is>
          <t>gary leckey gary</t>
        </is>
      </c>
      <c r="D219" t="inlineStr"/>
      <c r="E219" s="5" t="n"/>
      <c r="F219" s="5" t="n">
        <v>20</v>
      </c>
      <c r="G219" s="5">
        <f>G218+E219-F219</f>
        <v/>
      </c>
    </row>
    <row r="220">
      <c r="A220" s="3" t="inlineStr">
        <is>
          <t>29/07/2024</t>
        </is>
      </c>
      <c r="B220" s="3" t="inlineStr">
        <is>
          <t>1200 - Bank</t>
        </is>
      </c>
      <c r="C220" s="3" t="inlineStr">
        <is>
          <t>tina brown tina</t>
        </is>
      </c>
      <c r="D220" s="3" t="inlineStr"/>
      <c r="E220" s="4" t="n"/>
      <c r="F220" s="4" t="n">
        <v>20</v>
      </c>
      <c r="G220" s="4">
        <f>G219+E220-F220</f>
        <v/>
      </c>
    </row>
    <row r="221">
      <c r="A221" t="inlineStr">
        <is>
          <t>30/07/2024</t>
        </is>
      </c>
      <c r="B221" t="inlineStr">
        <is>
          <t>1200 - Bank</t>
        </is>
      </c>
      <c r="C221" t="inlineStr">
        <is>
          <t>BPDebitFee 27-07-24 178669038</t>
        </is>
      </c>
      <c r="D221" t="inlineStr"/>
      <c r="E221" s="5" t="n"/>
      <c r="F221" s="5" t="n">
        <v>0.3</v>
      </c>
      <c r="G221" s="5">
        <f>G220+E221-F221</f>
        <v/>
      </c>
    </row>
    <row r="222">
      <c r="A222" s="3" t="inlineStr">
        <is>
          <t>30/07/2024</t>
        </is>
      </c>
      <c r="B222" s="3" t="inlineStr">
        <is>
          <t>1200 - Bank</t>
        </is>
      </c>
      <c r="C222" s="3" t="inlineStr">
        <is>
          <t>BPDebitFee 27-07-24 178670679</t>
        </is>
      </c>
      <c r="D222" s="3" t="inlineStr"/>
      <c r="E222" s="4" t="n"/>
      <c r="F222" s="4" t="n">
        <v>0.3</v>
      </c>
      <c r="G222" s="4">
        <f>G221+E222-F222</f>
        <v/>
      </c>
    </row>
    <row r="223">
      <c r="A223" t="inlineStr">
        <is>
          <t>30/07/2024</t>
        </is>
      </c>
      <c r="B223" t="inlineStr">
        <is>
          <t>1200 - Bank</t>
        </is>
      </c>
      <c r="C223" t="inlineStr">
        <is>
          <t>BPDebitFee 29-07-24 178880836</t>
        </is>
      </c>
      <c r="D223" t="inlineStr"/>
      <c r="E223" s="5" t="n"/>
      <c r="F223" s="5" t="n">
        <v>0.3</v>
      </c>
      <c r="G223" s="5">
        <f>G222+E223-F223</f>
        <v/>
      </c>
    </row>
    <row r="224">
      <c r="A224" s="3" t="inlineStr">
        <is>
          <t>30/07/2024</t>
        </is>
      </c>
      <c r="B224" s="3" t="inlineStr">
        <is>
          <t>1200 - Bank</t>
        </is>
      </c>
      <c r="C224" s="3" t="inlineStr">
        <is>
          <t>BPDebitFee 29-07-24 178889482</t>
        </is>
      </c>
      <c r="D224" s="3" t="inlineStr"/>
      <c r="E224" s="4" t="n"/>
      <c r="F224" s="4" t="n">
        <v>0.3</v>
      </c>
      <c r="G224" s="4">
        <f>G223+E224-F224</f>
        <v/>
      </c>
    </row>
    <row r="225">
      <c r="A225" t="inlineStr">
        <is>
          <t>01/08/2024</t>
        </is>
      </c>
      <c r="B225" t="inlineStr">
        <is>
          <t>1200 - Bank</t>
        </is>
      </c>
      <c r="C225" t="inlineStr">
        <is>
          <t>CREDITBUILDER LOAN</t>
        </is>
      </c>
      <c r="D225" t="inlineStr"/>
      <c r="E225" s="5" t="n"/>
      <c r="F225" s="5" t="n">
        <v>108</v>
      </c>
      <c r="G225" s="5">
        <f>G224+E225-F225</f>
        <v/>
      </c>
    </row>
    <row r="226">
      <c r="A226" s="3" t="inlineStr">
        <is>
          <t>01/08/2024</t>
        </is>
      </c>
      <c r="B226" s="3" t="inlineStr">
        <is>
          <t>1200 - Bank</t>
        </is>
      </c>
      <c r="C226" s="3" t="inlineStr">
        <is>
          <t>CREDITBUILDER LOAN</t>
        </is>
      </c>
      <c r="D226" s="3" t="inlineStr"/>
      <c r="E226" s="4" t="n">
        <v>108</v>
      </c>
      <c r="F226" s="4" t="n"/>
      <c r="G226" s="4">
        <f>G225+E226-F226</f>
        <v/>
      </c>
    </row>
    <row r="227">
      <c r="A227" t="inlineStr">
        <is>
          <t>02/08/2024</t>
        </is>
      </c>
      <c r="B227" t="inlineStr">
        <is>
          <t>1200 - Bank</t>
        </is>
      </c>
      <c r="C227" t="inlineStr">
        <is>
          <t>CSR NI LTD THE CSR GROUP</t>
        </is>
      </c>
      <c r="D227" t="inlineStr"/>
      <c r="E227" s="5" t="n">
        <v>7.45</v>
      </c>
      <c r="F227" s="5" t="n"/>
      <c r="G227" s="5">
        <f>G226+E227-F227</f>
        <v/>
      </c>
    </row>
    <row r="228">
      <c r="A228" s="3" t="inlineStr">
        <is>
          <t>02/08/2024</t>
        </is>
      </c>
      <c r="B228" s="3" t="inlineStr">
        <is>
          <t>1200 - Bank</t>
        </is>
      </c>
      <c r="C228" s="3" t="inlineStr">
        <is>
          <t>CSR NI LTD THE CSR GROUP</t>
        </is>
      </c>
      <c r="D228" s="3" t="inlineStr"/>
      <c r="E228" s="4" t="n">
        <v>715.2</v>
      </c>
      <c r="F228" s="4" t="n"/>
      <c r="G228" s="4">
        <f>G227+E228-F228</f>
        <v/>
      </c>
    </row>
    <row r="229">
      <c r="A229" t="inlineStr">
        <is>
          <t>02/08/2024</t>
        </is>
      </c>
      <c r="B229" t="inlineStr">
        <is>
          <t>1200 - Bank</t>
        </is>
      </c>
      <c r="C229" t="inlineStr">
        <is>
          <t>gary leckey gary</t>
        </is>
      </c>
      <c r="D229" t="inlineStr"/>
      <c r="E229" s="5" t="n"/>
      <c r="F229" s="5" t="n">
        <v>20</v>
      </c>
      <c r="G229" s="5">
        <f>G228+E229-F229</f>
        <v/>
      </c>
    </row>
    <row r="230">
      <c r="A230" s="3" t="inlineStr">
        <is>
          <t>02/08/2024</t>
        </is>
      </c>
      <c r="B230" s="3" t="inlineStr">
        <is>
          <t>1200 - Bank</t>
        </is>
      </c>
      <c r="C230" s="3" t="inlineStr">
        <is>
          <t>gary leckey gary</t>
        </is>
      </c>
      <c r="D230" s="3" t="inlineStr"/>
      <c r="E230" s="4" t="n"/>
      <c r="F230" s="4" t="n">
        <v>30</v>
      </c>
      <c r="G230" s="4">
        <f>G229+E230-F230</f>
        <v/>
      </c>
    </row>
    <row r="231">
      <c r="A231" t="inlineStr">
        <is>
          <t>02/08/2024</t>
        </is>
      </c>
      <c r="B231" t="inlineStr">
        <is>
          <t>1200 - Bank</t>
        </is>
      </c>
      <c r="C231" t="inlineStr">
        <is>
          <t>gary leckey gary</t>
        </is>
      </c>
      <c r="D231" t="inlineStr"/>
      <c r="E231" s="5" t="n"/>
      <c r="F231" s="5" t="n">
        <v>500</v>
      </c>
      <c r="G231" s="5">
        <f>G230+E231-F231</f>
        <v/>
      </c>
    </row>
    <row r="232">
      <c r="A232" s="3" t="inlineStr">
        <is>
          <t>03/08/2024</t>
        </is>
      </c>
      <c r="B232" s="3" t="inlineStr">
        <is>
          <t>1200 - Bank</t>
        </is>
      </c>
      <c r="C232" s="3" t="inlineStr">
        <is>
          <t>Fin: AMZ*Marketing Svcs,Pat,AMS.AMAZON.C</t>
        </is>
      </c>
      <c r="D232" s="3" t="inlineStr"/>
      <c r="E232" s="4" t="n"/>
      <c r="F232" s="4" t="n">
        <v>61.44</v>
      </c>
      <c r="G232" s="4">
        <f>G231+E232-F232</f>
        <v/>
      </c>
    </row>
    <row r="233">
      <c r="A233" t="inlineStr">
        <is>
          <t>03/08/2024</t>
        </is>
      </c>
      <c r="B233" t="inlineStr">
        <is>
          <t>1200 - Bank</t>
        </is>
      </c>
      <c r="C233" t="inlineStr">
        <is>
          <t>Fin: Gelato Group UK Ltd,Acconomy, ,Pool</t>
        </is>
      </c>
      <c r="D233" t="inlineStr"/>
      <c r="E233" s="5" t="n"/>
      <c r="F233" s="5" t="n">
        <v>19</v>
      </c>
      <c r="G233" s="5">
        <f>G232+E233-F233</f>
        <v/>
      </c>
    </row>
    <row r="234">
      <c r="A234" s="3" t="inlineStr">
        <is>
          <t>03/08/2024</t>
        </is>
      </c>
      <c r="B234" s="3" t="inlineStr">
        <is>
          <t>1200 - Bank</t>
        </is>
      </c>
      <c r="C234" s="3" t="inlineStr">
        <is>
          <t>gary leckey gary</t>
        </is>
      </c>
      <c r="D234" s="3" t="inlineStr"/>
      <c r="E234" s="4" t="n"/>
      <c r="F234" s="4" t="n">
        <v>40</v>
      </c>
      <c r="G234" s="4">
        <f>G233+E234-F234</f>
        <v/>
      </c>
    </row>
    <row r="235">
      <c r="A235" t="inlineStr">
        <is>
          <t>03/08/2024</t>
        </is>
      </c>
      <c r="B235" t="inlineStr">
        <is>
          <t>1200 - Bank</t>
        </is>
      </c>
      <c r="C235" t="inlineStr">
        <is>
          <t>gary leckey gary</t>
        </is>
      </c>
      <c r="D235" t="inlineStr"/>
      <c r="E235" s="5" t="n"/>
      <c r="F235" s="5" t="n">
        <v>50</v>
      </c>
      <c r="G235" s="5">
        <f>G234+E235-F235</f>
        <v/>
      </c>
    </row>
    <row r="236">
      <c r="A236" s="3" t="inlineStr">
        <is>
          <t>04/08/2024</t>
        </is>
      </c>
      <c r="B236" s="3" t="inlineStr">
        <is>
          <t>1200 - Bank</t>
        </is>
      </c>
      <c r="C236" s="3" t="inlineStr">
        <is>
          <t>BROWN T TINA</t>
        </is>
      </c>
      <c r="D236" s="3" t="inlineStr"/>
      <c r="E236" s="4" t="n">
        <v>40</v>
      </c>
      <c r="F236" s="4" t="n"/>
      <c r="G236" s="4">
        <f>G235+E236-F236</f>
        <v/>
      </c>
    </row>
    <row r="237">
      <c r="A237" t="inlineStr">
        <is>
          <t>05/08/2024</t>
        </is>
      </c>
      <c r="B237" t="inlineStr">
        <is>
          <t>1200 - Bank</t>
        </is>
      </c>
      <c r="C237" t="inlineStr">
        <is>
          <t>BROWN T TINA</t>
        </is>
      </c>
      <c r="D237" t="inlineStr"/>
      <c r="E237" s="5" t="n">
        <v>450</v>
      </c>
      <c r="F237" s="5" t="n"/>
      <c r="G237" s="5">
        <f>G236+E237-F237</f>
        <v/>
      </c>
    </row>
    <row r="238">
      <c r="A238" s="3" t="inlineStr">
        <is>
          <t>05/08/2024</t>
        </is>
      </c>
      <c r="B238" s="3" t="inlineStr">
        <is>
          <t>1200 - Bank</t>
        </is>
      </c>
      <c r="C238" s="3" t="inlineStr">
        <is>
          <t>Fin: THOMPSON AUTOMOBILES L,27/31,BELFAS</t>
        </is>
      </c>
      <c r="D238" s="3" t="inlineStr"/>
      <c r="E238" s="4" t="n"/>
      <c r="F238" s="4" t="n">
        <v>19.14</v>
      </c>
      <c r="G238" s="4">
        <f>G237+E238-F238</f>
        <v/>
      </c>
    </row>
    <row r="239">
      <c r="A239" t="inlineStr">
        <is>
          <t>05/08/2024</t>
        </is>
      </c>
      <c r="B239" t="inlineStr">
        <is>
          <t>1200 - Bank</t>
        </is>
      </c>
      <c r="C239" t="inlineStr">
        <is>
          <t>G LECKEY 1006862278 gary le</t>
        </is>
      </c>
      <c r="D239" t="inlineStr"/>
      <c r="E239" s="5" t="n">
        <v>50</v>
      </c>
      <c r="F239" s="5" t="n"/>
      <c r="G239" s="5">
        <f>G238+E239-F239</f>
        <v/>
      </c>
    </row>
    <row r="240">
      <c r="A240" s="3" t="inlineStr">
        <is>
          <t>06/08/2024</t>
        </is>
      </c>
      <c r="B240" s="3" t="inlineStr">
        <is>
          <t>1200 - Bank</t>
        </is>
      </c>
      <c r="C240" s="3" t="inlineStr">
        <is>
          <t>**** Cashback ****</t>
        </is>
      </c>
      <c r="D240" s="3" t="inlineStr"/>
      <c r="E240" s="4" t="n">
        <v>12.64</v>
      </c>
      <c r="F240" s="4" t="n"/>
      <c r="G240" s="4">
        <f>G239+E240-F240</f>
        <v/>
      </c>
    </row>
    <row r="241">
      <c r="A241" t="inlineStr">
        <is>
          <t>06/08/2024</t>
        </is>
      </c>
      <c r="B241" t="inlineStr">
        <is>
          <t>1200 - Bank</t>
        </is>
      </c>
      <c r="C241" t="inlineStr">
        <is>
          <t>Ann leckey money</t>
        </is>
      </c>
      <c r="D241" t="inlineStr"/>
      <c r="E241" s="5" t="n"/>
      <c r="F241" s="5" t="n">
        <v>200</v>
      </c>
      <c r="G241" s="5">
        <f>G240+E241-F241</f>
        <v/>
      </c>
    </row>
    <row r="242">
      <c r="A242" s="3" t="inlineStr">
        <is>
          <t>06/08/2024</t>
        </is>
      </c>
      <c r="B242" s="3" t="inlineStr">
        <is>
          <t>1200 - Bank</t>
        </is>
      </c>
      <c r="C242" s="3" t="inlineStr">
        <is>
          <t>BPDebitFee 03-08-24 179518807</t>
        </is>
      </c>
      <c r="D242" s="3" t="inlineStr"/>
      <c r="E242" s="4" t="n"/>
      <c r="F242" s="4" t="n">
        <v>0.3</v>
      </c>
      <c r="G242" s="4">
        <f>G241+E242-F242</f>
        <v/>
      </c>
    </row>
    <row r="243">
      <c r="A243" t="inlineStr">
        <is>
          <t>06/08/2024</t>
        </is>
      </c>
      <c r="B243" t="inlineStr">
        <is>
          <t>1200 - Bank</t>
        </is>
      </c>
      <c r="C243" t="inlineStr">
        <is>
          <t>BPDebitFee 03-08-24 179585067</t>
        </is>
      </c>
      <c r="D243" t="inlineStr"/>
      <c r="E243" s="5" t="n"/>
      <c r="F243" s="5" t="n">
        <v>0.3</v>
      </c>
      <c r="G243" s="5">
        <f>G242+E243-F243</f>
        <v/>
      </c>
    </row>
    <row r="244">
      <c r="A244" s="3" t="inlineStr">
        <is>
          <t>06/08/2024</t>
        </is>
      </c>
      <c r="B244" s="3" t="inlineStr">
        <is>
          <t>1200 - Bank</t>
        </is>
      </c>
      <c r="C244" s="3" t="inlineStr">
        <is>
          <t>BROWN T TINA</t>
        </is>
      </c>
      <c r="D244" s="3" t="inlineStr"/>
      <c r="E244" s="4" t="n">
        <v>200</v>
      </c>
      <c r="F244" s="4" t="n"/>
      <c r="G244" s="4">
        <f>G243+E244-F244</f>
        <v/>
      </c>
    </row>
    <row r="245">
      <c r="A245" t="inlineStr">
        <is>
          <t>06/08/2024</t>
        </is>
      </c>
      <c r="B245" t="inlineStr">
        <is>
          <t>1200 - Bank</t>
        </is>
      </c>
      <c r="C245" t="inlineStr">
        <is>
          <t>Fin: E07047900000000,BLACKSTAFF E,BELFAS</t>
        </is>
      </c>
      <c r="D245" t="inlineStr"/>
      <c r="E245" s="5" t="n"/>
      <c r="F245" s="5" t="n">
        <v>200</v>
      </c>
      <c r="G245" s="5">
        <f>G244+E245-F245</f>
        <v/>
      </c>
    </row>
    <row r="246">
      <c r="A246" s="3" t="inlineStr">
        <is>
          <t>06/08/2024</t>
        </is>
      </c>
      <c r="B246" s="3" t="inlineStr">
        <is>
          <t>1200 - Bank</t>
        </is>
      </c>
      <c r="C246" s="3" t="inlineStr">
        <is>
          <t>Fin: E07047900000000,BLACKSTAFF E,BELFAS</t>
        </is>
      </c>
      <c r="D246" s="3" t="inlineStr"/>
      <c r="E246" s="4" t="n"/>
      <c r="F246" s="4" t="n">
        <v>250</v>
      </c>
      <c r="G246" s="4">
        <f>G245+E246-F246</f>
        <v/>
      </c>
    </row>
    <row r="247">
      <c r="A247" t="inlineStr">
        <is>
          <t>06/08/2024</t>
        </is>
      </c>
      <c r="B247" t="inlineStr">
        <is>
          <t>1200 - Bank</t>
        </is>
      </c>
      <c r="C247" t="inlineStr">
        <is>
          <t>Fin: EUROSPAR CRUMLIN,3 MILL ROAD,CRUMLI</t>
        </is>
      </c>
      <c r="D247" t="inlineStr"/>
      <c r="E247" s="5" t="n"/>
      <c r="F247" s="5" t="n">
        <v>2.75</v>
      </c>
      <c r="G247" s="5">
        <f>G246+E247-F247</f>
        <v/>
      </c>
    </row>
    <row r="248">
      <c r="A248" s="3" t="inlineStr">
        <is>
          <t>06/08/2024</t>
        </is>
      </c>
      <c r="B248" s="3" t="inlineStr">
        <is>
          <t>1200 - Bank</t>
        </is>
      </c>
      <c r="C248" s="3" t="inlineStr">
        <is>
          <t>Fin: EUROSPAR CRUMLIN,3 MILL ROAD,CRUMLI</t>
        </is>
      </c>
      <c r="D248" s="3" t="inlineStr"/>
      <c r="E248" s="4" t="n"/>
      <c r="F248" s="4" t="n">
        <v>5.9</v>
      </c>
      <c r="G248" s="4">
        <f>G247+E248-F248</f>
        <v/>
      </c>
    </row>
    <row r="249">
      <c r="A249" t="inlineStr">
        <is>
          <t>06/08/2024</t>
        </is>
      </c>
      <c r="B249" t="inlineStr">
        <is>
          <t>1200 - Bank</t>
        </is>
      </c>
      <c r="C249" t="inlineStr">
        <is>
          <t>Fin: PPOINT_*Hugh's Confect,32 Cl,Belfas</t>
        </is>
      </c>
      <c r="D249" t="inlineStr"/>
      <c r="E249" s="5" t="n"/>
      <c r="F249" s="5" t="n">
        <v>4.35</v>
      </c>
      <c r="G249" s="5">
        <f>G248+E249-F249</f>
        <v/>
      </c>
    </row>
    <row r="250">
      <c r="A250" s="3" t="inlineStr">
        <is>
          <t>06/08/2024</t>
        </is>
      </c>
      <c r="B250" s="3" t="inlineStr">
        <is>
          <t>1200 - Bank</t>
        </is>
      </c>
      <c r="C250" s="3" t="inlineStr">
        <is>
          <t>Fin: SPAR TWIN SPIRES,UNIT 17-21 ,BELFAS</t>
        </is>
      </c>
      <c r="D250" s="3" t="inlineStr"/>
      <c r="E250" s="4" t="n"/>
      <c r="F250" s="4" t="n">
        <v>4.5</v>
      </c>
      <c r="G250" s="4">
        <f>G249+E250-F250</f>
        <v/>
      </c>
    </row>
    <row r="251">
      <c r="A251" t="inlineStr">
        <is>
          <t>07/08/2024</t>
        </is>
      </c>
      <c r="B251" t="inlineStr">
        <is>
          <t>1200 - Bank</t>
        </is>
      </c>
      <c r="C251" t="inlineStr">
        <is>
          <t>BPDebitFee 06-08-24 179891273</t>
        </is>
      </c>
      <c r="D251" t="inlineStr"/>
      <c r="E251" s="5" t="n"/>
      <c r="F251" s="5" t="n">
        <v>0.3</v>
      </c>
      <c r="G251" s="5">
        <f>G250+E251-F251</f>
        <v/>
      </c>
    </row>
    <row r="252">
      <c r="A252" s="3" t="inlineStr">
        <is>
          <t>07/08/2024</t>
        </is>
      </c>
      <c r="B252" s="3" t="inlineStr">
        <is>
          <t>1200 - Bank</t>
        </is>
      </c>
      <c r="C252" s="3" t="inlineStr">
        <is>
          <t>Fin: EUROSPAR CRUMLIN,3 MILL ROAD,CRUMLI</t>
        </is>
      </c>
      <c r="D252" s="3" t="inlineStr"/>
      <c r="E252" s="4" t="n"/>
      <c r="F252" s="4" t="n">
        <v>6.19</v>
      </c>
      <c r="G252" s="4">
        <f>G251+E252-F252</f>
        <v/>
      </c>
    </row>
    <row r="253">
      <c r="A253" t="inlineStr">
        <is>
          <t>07/08/2024</t>
        </is>
      </c>
      <c r="B253" t="inlineStr">
        <is>
          <t>1200 - Bank</t>
        </is>
      </c>
      <c r="C253" t="inlineStr">
        <is>
          <t>Fin: MAXOL EDENDERRY SSTN,298 CRU,BELFAS</t>
        </is>
      </c>
      <c r="D253" t="inlineStr"/>
      <c r="E253" s="5" t="n"/>
      <c r="F253" s="5" t="n">
        <v>6.02</v>
      </c>
      <c r="G253" s="5">
        <f>G252+E253-F253</f>
        <v/>
      </c>
    </row>
    <row r="254">
      <c r="A254" s="3" t="inlineStr">
        <is>
          <t>08/08/2024</t>
        </is>
      </c>
      <c r="B254" s="3" t="inlineStr">
        <is>
          <t>1200 - Bank</t>
        </is>
      </c>
      <c r="C254" s="3" t="inlineStr">
        <is>
          <t>BROWN T TINA</t>
        </is>
      </c>
      <c r="D254" s="3" t="inlineStr"/>
      <c r="E254" s="4" t="n">
        <v>30</v>
      </c>
      <c r="F254" s="4" t="n"/>
      <c r="G254" s="4">
        <f>G253+E254-F254</f>
        <v/>
      </c>
    </row>
    <row r="255">
      <c r="A255" t="inlineStr">
        <is>
          <t>08/08/2024</t>
        </is>
      </c>
      <c r="B255" t="inlineStr">
        <is>
          <t>1200 - Bank</t>
        </is>
      </c>
      <c r="C255" t="inlineStr">
        <is>
          <t>Fin: NEW LOOK 1935,UNIT 5 CITY RE,BELFAS</t>
        </is>
      </c>
      <c r="D255" t="inlineStr"/>
      <c r="E255" s="5" t="n"/>
      <c r="F255" s="5" t="n">
        <v>11.99</v>
      </c>
      <c r="G255" s="5">
        <f>G254+E255-F255</f>
        <v/>
      </c>
    </row>
    <row r="256">
      <c r="A256" s="3" t="inlineStr">
        <is>
          <t>08/08/2024</t>
        </is>
      </c>
      <c r="B256" s="3" t="inlineStr">
        <is>
          <t>1200 - Bank</t>
        </is>
      </c>
      <c r="C256" s="3" t="inlineStr">
        <is>
          <t>Fin: SPAR TWIN SPIRES,UNIT 17-21 ,BELFAS</t>
        </is>
      </c>
      <c r="D256" s="3" t="inlineStr"/>
      <c r="E256" s="4" t="n"/>
      <c r="F256" s="4" t="n">
        <v>18.69</v>
      </c>
      <c r="G256" s="4">
        <f>G255+E256-F256</f>
        <v/>
      </c>
    </row>
    <row r="257">
      <c r="A257" t="inlineStr">
        <is>
          <t>08/08/2024</t>
        </is>
      </c>
      <c r="B257" t="inlineStr">
        <is>
          <t>1200 - Bank</t>
        </is>
      </c>
      <c r="C257" t="inlineStr">
        <is>
          <t>Fin: SPAR TWIN SPIRES,UNIT 17-21 ,BELFAS</t>
        </is>
      </c>
      <c r="D257" t="inlineStr"/>
      <c r="E257" s="5" t="n"/>
      <c r="F257" s="5" t="n">
        <v>2.6</v>
      </c>
      <c r="G257" s="5">
        <f>G256+E257-F257</f>
        <v/>
      </c>
    </row>
    <row r="258">
      <c r="A258" s="3" t="inlineStr">
        <is>
          <t>08/08/2024</t>
        </is>
      </c>
      <c r="B258" s="3" t="inlineStr">
        <is>
          <t>1200 - Bank</t>
        </is>
      </c>
      <c r="C258" s="3" t="inlineStr">
        <is>
          <t>tina brown tina</t>
        </is>
      </c>
      <c r="D258" s="3" t="inlineStr"/>
      <c r="E258" s="4" t="n"/>
      <c r="F258" s="4" t="n">
        <v>20</v>
      </c>
      <c r="G258" s="4">
        <f>G257+E258-F258</f>
        <v/>
      </c>
    </row>
    <row r="259">
      <c r="A259" t="inlineStr">
        <is>
          <t>08/08/2024</t>
        </is>
      </c>
      <c r="B259" t="inlineStr">
        <is>
          <t>1200 - Bank</t>
        </is>
      </c>
      <c r="C259" t="inlineStr">
        <is>
          <t>tina brown tina</t>
        </is>
      </c>
      <c r="D259" t="inlineStr"/>
      <c r="E259" s="5" t="n"/>
      <c r="F259" s="5" t="n">
        <v>30</v>
      </c>
      <c r="G259" s="5">
        <f>G258+E259-F259</f>
        <v/>
      </c>
    </row>
    <row r="260">
      <c r="A260" s="3" t="inlineStr">
        <is>
          <t>09/08/2024</t>
        </is>
      </c>
      <c r="B260" s="3" t="inlineStr">
        <is>
          <t>1200 - Bank</t>
        </is>
      </c>
      <c r="C260" s="3" t="inlineStr">
        <is>
          <t>BPDebitFee 08-08-24 180146471</t>
        </is>
      </c>
      <c r="D260" s="3" t="inlineStr"/>
      <c r="E260" s="4" t="n"/>
      <c r="F260" s="4" t="n">
        <v>0.3</v>
      </c>
      <c r="G260" s="4">
        <f>G259+E260-F260</f>
        <v/>
      </c>
    </row>
    <row r="261">
      <c r="A261" t="inlineStr">
        <is>
          <t>09/08/2024</t>
        </is>
      </c>
      <c r="B261" t="inlineStr">
        <is>
          <t>1200 - Bank</t>
        </is>
      </c>
      <c r="C261" t="inlineStr">
        <is>
          <t>BPDebitFee 08-08-24 180233689</t>
        </is>
      </c>
      <c r="D261" t="inlineStr"/>
      <c r="E261" s="5" t="n"/>
      <c r="F261" s="5" t="n">
        <v>0.3</v>
      </c>
      <c r="G261" s="5">
        <f>G260+E261-F261</f>
        <v/>
      </c>
    </row>
    <row r="262">
      <c r="A262" s="3" t="inlineStr">
        <is>
          <t>09/08/2024</t>
        </is>
      </c>
      <c r="B262" s="3" t="inlineStr">
        <is>
          <t>1200 - Bank</t>
        </is>
      </c>
      <c r="C262" s="3" t="inlineStr">
        <is>
          <t>CSR NI LTD THE CSR GROUP</t>
        </is>
      </c>
      <c r="D262" s="3" t="inlineStr"/>
      <c r="E262" s="4" t="n">
        <v>745</v>
      </c>
      <c r="F262" s="4" t="n"/>
      <c r="G262" s="4">
        <f>G261+E262-F262</f>
        <v/>
      </c>
    </row>
    <row r="263">
      <c r="A263" t="inlineStr">
        <is>
          <t>09/08/2024</t>
        </is>
      </c>
      <c r="B263" t="inlineStr">
        <is>
          <t>1200 - Bank</t>
        </is>
      </c>
      <c r="C263" t="inlineStr">
        <is>
          <t>Stephen leckey Steven</t>
        </is>
      </c>
      <c r="D263" t="inlineStr"/>
      <c r="E263" s="5" t="n"/>
      <c r="F263" s="5" t="n">
        <v>200</v>
      </c>
      <c r="G263" s="5">
        <f>G262+E263-F263</f>
        <v/>
      </c>
    </row>
    <row r="264">
      <c r="A264" s="3" t="inlineStr">
        <is>
          <t>09/08/2024</t>
        </is>
      </c>
      <c r="B264" s="3" t="inlineStr">
        <is>
          <t>1200 - Bank</t>
        </is>
      </c>
      <c r="C264" s="3" t="inlineStr">
        <is>
          <t>tina brown tina</t>
        </is>
      </c>
      <c r="D264" s="3" t="inlineStr"/>
      <c r="E264" s="4" t="n"/>
      <c r="F264" s="4" t="n">
        <v>15</v>
      </c>
      <c r="G264" s="4">
        <f>G263+E264-F264</f>
        <v/>
      </c>
    </row>
    <row r="265">
      <c r="A265" t="inlineStr">
        <is>
          <t>09/08/2024</t>
        </is>
      </c>
      <c r="B265" t="inlineStr">
        <is>
          <t>1200 - Bank</t>
        </is>
      </c>
      <c r="C265" t="inlineStr">
        <is>
          <t>tina brown tina</t>
        </is>
      </c>
      <c r="D265" t="inlineStr"/>
      <c r="E265" s="5" t="n"/>
      <c r="F265" s="5" t="n">
        <v>500</v>
      </c>
      <c r="G265" s="5">
        <f>G264+E265-F265</f>
        <v/>
      </c>
    </row>
    <row r="266">
      <c r="A266" s="3" t="inlineStr">
        <is>
          <t>10/08/2024</t>
        </is>
      </c>
      <c r="B266" s="3" t="inlineStr">
        <is>
          <t>1200 - Bank</t>
        </is>
      </c>
      <c r="C266" s="3" t="inlineStr">
        <is>
          <t>BPDebitFee 09-08-24 180403608</t>
        </is>
      </c>
      <c r="D266" s="3" t="inlineStr"/>
      <c r="E266" s="4" t="n"/>
      <c r="F266" s="4" t="n">
        <v>0.3</v>
      </c>
      <c r="G266" s="4">
        <f>G265+E266-F266</f>
        <v/>
      </c>
    </row>
    <row r="267">
      <c r="A267" t="inlineStr">
        <is>
          <t>10/08/2024</t>
        </is>
      </c>
      <c r="B267" t="inlineStr">
        <is>
          <t>1200 - Bank</t>
        </is>
      </c>
      <c r="C267" t="inlineStr">
        <is>
          <t>BPDebitFee 09-08-24 180414153</t>
        </is>
      </c>
      <c r="D267" t="inlineStr"/>
      <c r="E267" s="5" t="n"/>
      <c r="F267" s="5" t="n">
        <v>0.3</v>
      </c>
      <c r="G267" s="5">
        <f>G266+E267-F267</f>
        <v/>
      </c>
    </row>
    <row r="268">
      <c r="A268" s="3" t="inlineStr">
        <is>
          <t>10/08/2024</t>
        </is>
      </c>
      <c r="B268" s="3" t="inlineStr">
        <is>
          <t>1200 - Bank</t>
        </is>
      </c>
      <c r="C268" s="3" t="inlineStr">
        <is>
          <t>BPDebitFee 09-08-24 180423732</t>
        </is>
      </c>
      <c r="D268" s="3" t="inlineStr"/>
      <c r="E268" s="4" t="n"/>
      <c r="F268" s="4" t="n">
        <v>0.3</v>
      </c>
      <c r="G268" s="4">
        <f>G267+E268-F268</f>
        <v/>
      </c>
    </row>
    <row r="269">
      <c r="A269" t="inlineStr">
        <is>
          <t>10/08/2024</t>
        </is>
      </c>
      <c r="B269" t="inlineStr">
        <is>
          <t>1200 - Bank</t>
        </is>
      </c>
      <c r="C269" t="inlineStr">
        <is>
          <t>tina brown tina</t>
        </is>
      </c>
      <c r="D269" t="inlineStr"/>
      <c r="E269" s="5" t="n"/>
      <c r="F269" s="5" t="n">
        <v>20</v>
      </c>
      <c r="G269" s="5">
        <f>G268+E269-F269</f>
        <v/>
      </c>
    </row>
    <row r="270">
      <c r="A270" s="3" t="inlineStr">
        <is>
          <t>11/08/2024</t>
        </is>
      </c>
      <c r="B270" s="3" t="inlineStr">
        <is>
          <t>1200 - Bank</t>
        </is>
      </c>
      <c r="C270" s="3" t="inlineStr">
        <is>
          <t>Monthly subscription</t>
        </is>
      </c>
      <c r="D270" s="3" t="inlineStr"/>
      <c r="E270" s="4" t="n"/>
      <c r="F270" s="4" t="n">
        <v>9</v>
      </c>
      <c r="G270" s="4">
        <f>G269+E270-F270</f>
        <v/>
      </c>
    </row>
    <row r="271">
      <c r="A271" t="inlineStr">
        <is>
          <t>13/08/2024</t>
        </is>
      </c>
      <c r="B271" t="inlineStr">
        <is>
          <t>1200 - Bank</t>
        </is>
      </c>
      <c r="C271" t="inlineStr">
        <is>
          <t>BPDebitFee 10-08-24 180548216</t>
        </is>
      </c>
      <c r="D271" t="inlineStr"/>
      <c r="E271" s="5" t="n"/>
      <c r="F271" s="5" t="n">
        <v>0.3</v>
      </c>
      <c r="G271" s="5">
        <f>G270+E271-F271</f>
        <v/>
      </c>
    </row>
    <row r="272">
      <c r="A272" s="3" t="inlineStr">
        <is>
          <t>16/08/2024</t>
        </is>
      </c>
      <c r="B272" s="3" t="inlineStr">
        <is>
          <t>1200 - Bank</t>
        </is>
      </c>
      <c r="C272" s="3" t="inlineStr">
        <is>
          <t>BROWN T TINA</t>
        </is>
      </c>
      <c r="D272" s="3" t="inlineStr"/>
      <c r="E272" s="4" t="n">
        <v>10</v>
      </c>
      <c r="F272" s="4" t="n"/>
      <c r="G272" s="4">
        <f>G271+E272-F272</f>
        <v/>
      </c>
    </row>
    <row r="273">
      <c r="A273" t="inlineStr">
        <is>
          <t>16/08/2024</t>
        </is>
      </c>
      <c r="B273" t="inlineStr">
        <is>
          <t>1200 - Bank</t>
        </is>
      </c>
      <c r="C273" t="inlineStr">
        <is>
          <t>CSR NI LTD THE CSR GROUP</t>
        </is>
      </c>
      <c r="D273" t="inlineStr"/>
      <c r="E273" s="5" t="n">
        <v>707.75</v>
      </c>
      <c r="F273" s="5" t="n"/>
      <c r="G273" s="5">
        <f>G272+E273-F273</f>
        <v/>
      </c>
    </row>
    <row r="274">
      <c r="A274" s="3" t="inlineStr">
        <is>
          <t>16/08/2024</t>
        </is>
      </c>
      <c r="B274" s="3" t="inlineStr">
        <is>
          <t>1200 - Bank</t>
        </is>
      </c>
      <c r="C274" s="3" t="inlineStr">
        <is>
          <t>Direct Debit Rejected Payment Fee</t>
        </is>
      </c>
      <c r="D274" s="3" t="inlineStr"/>
      <c r="E274" s="4" t="n"/>
      <c r="F274" s="4" t="n">
        <v>15</v>
      </c>
      <c r="G274" s="4">
        <f>G273+E274-F274</f>
        <v/>
      </c>
    </row>
    <row r="275">
      <c r="A275" t="inlineStr">
        <is>
          <t>16/08/2024</t>
        </is>
      </c>
      <c r="B275" t="inlineStr">
        <is>
          <t>1200 - Bank</t>
        </is>
      </c>
      <c r="C275" t="inlineStr">
        <is>
          <t>gary leckey gary</t>
        </is>
      </c>
      <c r="D275" t="inlineStr"/>
      <c r="E275" s="5" t="n"/>
      <c r="F275" s="5" t="n">
        <v>10</v>
      </c>
      <c r="G275" s="5">
        <f>G274+E275-F275</f>
        <v/>
      </c>
    </row>
    <row r="276">
      <c r="A276" s="3" t="inlineStr">
        <is>
          <t>16/08/2024</t>
        </is>
      </c>
      <c r="B276" s="3" t="inlineStr">
        <is>
          <t>1200 - Bank</t>
        </is>
      </c>
      <c r="C276" s="3" t="inlineStr">
        <is>
          <t>gary leckey salery</t>
        </is>
      </c>
      <c r="D276" s="3" t="inlineStr"/>
      <c r="E276" s="4" t="n"/>
      <c r="F276" s="4" t="n">
        <v>500</v>
      </c>
      <c r="G276" s="4">
        <f>G275+E276-F276</f>
        <v/>
      </c>
    </row>
    <row r="277">
      <c r="A277" t="inlineStr">
        <is>
          <t>17/08/2024</t>
        </is>
      </c>
      <c r="B277" t="inlineStr">
        <is>
          <t>1200 - Bank</t>
        </is>
      </c>
      <c r="C277" t="inlineStr">
        <is>
          <t>BPDebitFee 16-08-24 203711739</t>
        </is>
      </c>
      <c r="D277" t="inlineStr"/>
      <c r="E277" s="5" t="n"/>
      <c r="F277" s="5" t="n">
        <v>0.3</v>
      </c>
      <c r="G277" s="5">
        <f>G276+E277-F277</f>
        <v/>
      </c>
    </row>
    <row r="278">
      <c r="A278" s="3" t="inlineStr">
        <is>
          <t>17/08/2024</t>
        </is>
      </c>
      <c r="B278" s="3" t="inlineStr">
        <is>
          <t>1200 - Bank</t>
        </is>
      </c>
      <c r="C278" s="3" t="inlineStr">
        <is>
          <t>BPDebitFee 16-08-24 203716466</t>
        </is>
      </c>
      <c r="D278" s="3" t="inlineStr"/>
      <c r="E278" s="4" t="n"/>
      <c r="F278" s="4" t="n">
        <v>0.3</v>
      </c>
      <c r="G278" s="4">
        <f>G277+E278-F278</f>
        <v/>
      </c>
    </row>
    <row r="279">
      <c r="A279" t="inlineStr">
        <is>
          <t>17/08/2024</t>
        </is>
      </c>
      <c r="B279" t="inlineStr">
        <is>
          <t>1200 - Bank</t>
        </is>
      </c>
      <c r="C279" t="inlineStr">
        <is>
          <t>tina brown tina</t>
        </is>
      </c>
      <c r="D279" t="inlineStr"/>
      <c r="E279" s="5" t="n"/>
      <c r="F279" s="5" t="n">
        <v>192</v>
      </c>
      <c r="G279" s="5">
        <f>G278+E279-F279</f>
        <v/>
      </c>
    </row>
    <row r="280">
      <c r="A280" s="3" t="inlineStr">
        <is>
          <t>20/08/2024</t>
        </is>
      </c>
      <c r="B280" s="3" t="inlineStr">
        <is>
          <t>1200 - Bank</t>
        </is>
      </c>
      <c r="C280" s="3" t="inlineStr">
        <is>
          <t>BPDebitFee 17-08-24 203737074</t>
        </is>
      </c>
      <c r="D280" s="3" t="inlineStr"/>
      <c r="E280" s="4" t="n"/>
      <c r="F280" s="4" t="n">
        <v>0.3</v>
      </c>
      <c r="G280" s="4">
        <f>G279+E280-F280</f>
        <v/>
      </c>
    </row>
    <row r="281">
      <c r="A281" t="inlineStr">
        <is>
          <t>23/08/2024</t>
        </is>
      </c>
      <c r="B281" t="inlineStr">
        <is>
          <t>1200 - Bank</t>
        </is>
      </c>
      <c r="C281" t="inlineStr">
        <is>
          <t>BROWN T TINA</t>
        </is>
      </c>
      <c r="D281" t="inlineStr"/>
      <c r="E281" s="5" t="n">
        <v>900</v>
      </c>
      <c r="F281" s="5" t="n"/>
      <c r="G281" s="5">
        <f>G280+E281-F281</f>
        <v/>
      </c>
    </row>
    <row r="282">
      <c r="A282" s="3" t="inlineStr">
        <is>
          <t>23/08/2024</t>
        </is>
      </c>
      <c r="B282" s="3" t="inlineStr">
        <is>
          <t>1200 - Bank</t>
        </is>
      </c>
      <c r="C282" s="3" t="inlineStr">
        <is>
          <t>G LECKEY 1006862278 gary le</t>
        </is>
      </c>
      <c r="D282" s="3" t="inlineStr"/>
      <c r="E282" s="4" t="n">
        <v>57</v>
      </c>
      <c r="F282" s="4" t="n"/>
      <c r="G282" s="4">
        <f>G281+E282-F282</f>
        <v/>
      </c>
    </row>
    <row r="283">
      <c r="A283" t="inlineStr">
        <is>
          <t>23/08/2024</t>
        </is>
      </c>
      <c r="B283" t="inlineStr">
        <is>
          <t>1200 - Bank</t>
        </is>
      </c>
      <c r="C283" t="inlineStr">
        <is>
          <t>Heron Bros Ltd SP0011939</t>
        </is>
      </c>
      <c r="D283" t="inlineStr"/>
      <c r="E283" s="5" t="n">
        <v>3616</v>
      </c>
      <c r="F283" s="5" t="n"/>
      <c r="G283" s="5">
        <f>G282+E283-F283</f>
        <v/>
      </c>
    </row>
    <row r="284">
      <c r="A284" s="3" t="inlineStr">
        <is>
          <t>23/08/2024</t>
        </is>
      </c>
      <c r="B284" s="3" t="inlineStr">
        <is>
          <t>1200 - Bank</t>
        </is>
      </c>
      <c r="C284" s="3" t="inlineStr">
        <is>
          <t>Stephen leckey Steven</t>
        </is>
      </c>
      <c r="D284" s="3" t="inlineStr"/>
      <c r="E284" s="4" t="n"/>
      <c r="F284" s="4" t="n">
        <v>400</v>
      </c>
      <c r="G284" s="4">
        <f>G283+E284-F284</f>
        <v/>
      </c>
    </row>
    <row r="285">
      <c r="A285" t="inlineStr">
        <is>
          <t>24/08/2024</t>
        </is>
      </c>
      <c r="B285" t="inlineStr">
        <is>
          <t>1200 - Bank</t>
        </is>
      </c>
      <c r="C285" t="inlineStr">
        <is>
          <t>Fin: Chill,311 Cavehill Road,Belfast,GBR</t>
        </is>
      </c>
      <c r="D285" t="inlineStr"/>
      <c r="E285" s="5" t="n"/>
      <c r="F285" s="5" t="n">
        <v>7.5</v>
      </c>
      <c r="G285" s="5">
        <f>G284+E285-F285</f>
        <v/>
      </c>
    </row>
    <row r="286">
      <c r="A286" s="3" t="inlineStr">
        <is>
          <t>24/08/2024</t>
        </is>
      </c>
      <c r="B286" s="3" t="inlineStr">
        <is>
          <t>1200 - Bank</t>
        </is>
      </c>
      <c r="C286" s="3" t="inlineStr">
        <is>
          <t>Fin: ENUK0481,CRUMLIN ROAD,BELFAST,GBR</t>
        </is>
      </c>
      <c r="D286" s="3" t="inlineStr"/>
      <c r="E286" s="4" t="n"/>
      <c r="F286" s="4" t="n">
        <v>250</v>
      </c>
      <c r="G286" s="4">
        <f>G285+E286-F286</f>
        <v/>
      </c>
    </row>
    <row r="287">
      <c r="A287" t="inlineStr">
        <is>
          <t>24/08/2024</t>
        </is>
      </c>
      <c r="B287" t="inlineStr">
        <is>
          <t>1200 - Bank</t>
        </is>
      </c>
      <c r="C287" t="inlineStr">
        <is>
          <t>Fin: ENUK0481,CRUMLIN ROAD,BELFAST,GBR</t>
        </is>
      </c>
      <c r="D287" t="inlineStr"/>
      <c r="E287" s="5" t="n"/>
      <c r="F287" s="5" t="n">
        <v>250</v>
      </c>
      <c r="G287" s="5">
        <f>G286+E287-F287</f>
        <v/>
      </c>
    </row>
    <row r="288">
      <c r="A288" s="3" t="inlineStr">
        <is>
          <t>24/08/2024</t>
        </is>
      </c>
      <c r="B288" s="3" t="inlineStr">
        <is>
          <t>1200 - Bank</t>
        </is>
      </c>
      <c r="C288" s="3" t="inlineStr">
        <is>
          <t>Fin: EUROSPAR CRUMLIN,3 MILL ROAD,CRUMLI</t>
        </is>
      </c>
      <c r="D288" s="3" t="inlineStr"/>
      <c r="E288" s="4" t="n"/>
      <c r="F288" s="4" t="n">
        <v>6.9</v>
      </c>
      <c r="G288" s="4">
        <f>G287+E288-F288</f>
        <v/>
      </c>
    </row>
    <row r="289">
      <c r="A289" t="inlineStr">
        <is>
          <t>24/08/2024</t>
        </is>
      </c>
      <c r="B289" t="inlineStr">
        <is>
          <t>1200 - Bank</t>
        </is>
      </c>
      <c r="C289" t="inlineStr">
        <is>
          <t>Fin: FRUITERAMA,13 SPRINGFIELD RO,BELFAS</t>
        </is>
      </c>
      <c r="D289" t="inlineStr"/>
      <c r="E289" s="5" t="n"/>
      <c r="F289" s="5" t="n">
        <v>5</v>
      </c>
      <c r="G289" s="5">
        <f>G288+E289-F289</f>
        <v/>
      </c>
    </row>
    <row r="290">
      <c r="A290" s="3" t="inlineStr">
        <is>
          <t>24/08/2024</t>
        </is>
      </c>
      <c r="B290" s="3" t="inlineStr">
        <is>
          <t>1200 - Bank</t>
        </is>
      </c>
      <c r="C290" s="3" t="inlineStr">
        <is>
          <t>Fin: MAXOL EDENDERRY SSTN,298 CRU,BELFAS</t>
        </is>
      </c>
      <c r="D290" s="3" t="inlineStr"/>
      <c r="E290" s="4" t="n"/>
      <c r="F290" s="4" t="n">
        <v>10</v>
      </c>
      <c r="G290" s="4">
        <f>G289+E290-F290</f>
        <v/>
      </c>
    </row>
    <row r="291">
      <c r="A291" t="inlineStr">
        <is>
          <t>24/08/2024</t>
        </is>
      </c>
      <c r="B291" t="inlineStr">
        <is>
          <t>1200 - Bank</t>
        </is>
      </c>
      <c r="C291" t="inlineStr">
        <is>
          <t>Fin: SPAR TWIN SPIRES,UNIT 17-21 ,BELFAS</t>
        </is>
      </c>
      <c r="D291" t="inlineStr"/>
      <c r="E291" s="5" t="n"/>
      <c r="F291" s="5" t="n">
        <v>12.9</v>
      </c>
      <c r="G291" s="5">
        <f>G290+E291-F291</f>
        <v/>
      </c>
    </row>
    <row r="292">
      <c r="A292" s="3" t="inlineStr">
        <is>
          <t>24/08/2024</t>
        </is>
      </c>
      <c r="B292" s="3" t="inlineStr">
        <is>
          <t>1200 - Bank</t>
        </is>
      </c>
      <c r="C292" s="3" t="inlineStr">
        <is>
          <t>tina brown tina</t>
        </is>
      </c>
      <c r="D292" s="3" t="inlineStr"/>
      <c r="E292" s="4" t="n"/>
      <c r="F292" s="4" t="n">
        <v>10</v>
      </c>
      <c r="G292" s="4">
        <f>G291+E292-F292</f>
        <v/>
      </c>
    </row>
    <row r="293">
      <c r="A293" t="inlineStr">
        <is>
          <t>25/08/2024</t>
        </is>
      </c>
      <c r="B293" t="inlineStr">
        <is>
          <t>1200 - Bank</t>
        </is>
      </c>
      <c r="C293" t="inlineStr">
        <is>
          <t>tina brown tina</t>
        </is>
      </c>
      <c r="D293" t="inlineStr"/>
      <c r="E293" s="5" t="n"/>
      <c r="F293" s="5" t="n">
        <v>3230</v>
      </c>
      <c r="G293" s="5">
        <f>G292+E293-F293</f>
        <v/>
      </c>
    </row>
    <row r="294">
      <c r="A294" s="3" t="inlineStr">
        <is>
          <t>25/08/2024</t>
        </is>
      </c>
      <c r="B294" s="3" t="inlineStr">
        <is>
          <t>1200 - Bank</t>
        </is>
      </c>
      <c r="C294" s="3" t="inlineStr">
        <is>
          <t>tina brown tina</t>
        </is>
      </c>
      <c r="D294" s="3" t="inlineStr"/>
      <c r="E294" s="4" t="n"/>
      <c r="F294" s="4" t="n">
        <v>8</v>
      </c>
      <c r="G294" s="4">
        <f>G293+E294-F294</f>
        <v/>
      </c>
    </row>
    <row r="295">
      <c r="A295" t="inlineStr">
        <is>
          <t>26/08/2024</t>
        </is>
      </c>
      <c r="B295" t="inlineStr">
        <is>
          <t>1200 - Bank</t>
        </is>
      </c>
      <c r="C295" t="inlineStr">
        <is>
          <t>Fin: E01604100000000,MCPEAKES 1 S,BELFAS</t>
        </is>
      </c>
      <c r="D295" t="inlineStr"/>
      <c r="E295" s="5" t="n"/>
      <c r="F295" s="5" t="n">
        <v>251.99</v>
      </c>
      <c r="G295" s="5">
        <f>G294+E295-F295</f>
        <v/>
      </c>
    </row>
    <row r="296">
      <c r="A296" s="3" t="inlineStr">
        <is>
          <t>26/08/2024</t>
        </is>
      </c>
      <c r="B296" s="3" t="inlineStr">
        <is>
          <t>1200 - Bank</t>
        </is>
      </c>
      <c r="C296" s="3" t="inlineStr">
        <is>
          <t>Fin: E01604100000000,MCPEAKES 1 S,BELFAS</t>
        </is>
      </c>
      <c r="D296" s="3" t="inlineStr"/>
      <c r="E296" s="4" t="n"/>
      <c r="F296" s="4" t="n">
        <v>81.98999999999999</v>
      </c>
      <c r="G296" s="4">
        <f>G295+E296-F296</f>
        <v/>
      </c>
    </row>
    <row r="297">
      <c r="A297" t="inlineStr">
        <is>
          <t>26/08/2024</t>
        </is>
      </c>
      <c r="B297" t="inlineStr">
        <is>
          <t>1200 - Bank</t>
        </is>
      </c>
      <c r="C297" t="inlineStr">
        <is>
          <t>Fin: E07047700000000,FALLS ROAD, ,BELFAS</t>
        </is>
      </c>
      <c r="D297" t="inlineStr"/>
      <c r="E297" s="5" t="n"/>
      <c r="F297" s="5" t="n">
        <v>10</v>
      </c>
      <c r="G297" s="5">
        <f>G296+E297-F297</f>
        <v/>
      </c>
    </row>
    <row r="298">
      <c r="A298" s="3" t="inlineStr">
        <is>
          <t>26/08/2024</t>
        </is>
      </c>
      <c r="B298" s="3" t="inlineStr">
        <is>
          <t>1200 - Bank</t>
        </is>
      </c>
      <c r="C298" s="3" t="inlineStr">
        <is>
          <t>Fin: PPOINT_*Hugh's Confect,32 Cl,Belfas</t>
        </is>
      </c>
      <c r="D298" s="3" t="inlineStr"/>
      <c r="E298" s="4" t="n"/>
      <c r="F298" s="4" t="n">
        <v>1.2</v>
      </c>
      <c r="G298" s="4">
        <f>G297+E298-F298</f>
        <v/>
      </c>
    </row>
    <row r="299">
      <c r="A299" t="inlineStr">
        <is>
          <t>26/08/2024</t>
        </is>
      </c>
      <c r="B299" t="inlineStr">
        <is>
          <t>1200 - Bank</t>
        </is>
      </c>
      <c r="C299" t="inlineStr">
        <is>
          <t>Fin: PPOINT_*Hugh's Confect,32 Cl,Belfas</t>
        </is>
      </c>
      <c r="D299" t="inlineStr"/>
      <c r="E299" s="5" t="n"/>
      <c r="F299" s="5" t="n">
        <v>3</v>
      </c>
      <c r="G299" s="5">
        <f>G298+E299-F299</f>
        <v/>
      </c>
    </row>
    <row r="300">
      <c r="A300" s="3" t="inlineStr">
        <is>
          <t>26/08/2024</t>
        </is>
      </c>
      <c r="B300" s="3" t="inlineStr">
        <is>
          <t>1200 - Bank</t>
        </is>
      </c>
      <c r="C300" s="3" t="inlineStr">
        <is>
          <t>Fin: PPOINT_*Hugh's Confect,32 Cl,Belfas</t>
        </is>
      </c>
      <c r="D300" s="3" t="inlineStr"/>
      <c r="E300" s="4" t="n"/>
      <c r="F300" s="4" t="n">
        <v>3.05</v>
      </c>
      <c r="G300" s="4">
        <f>G299+E300-F300</f>
        <v/>
      </c>
    </row>
    <row r="301">
      <c r="A301" t="inlineStr">
        <is>
          <t>26/08/2024</t>
        </is>
      </c>
      <c r="B301" t="inlineStr">
        <is>
          <t>1200 - Bank</t>
        </is>
      </c>
      <c r="C301" t="inlineStr">
        <is>
          <t>Fin: PPOINT_*Premier Brians,208 B,Belfas</t>
        </is>
      </c>
      <c r="D301" t="inlineStr"/>
      <c r="E301" s="5" t="n"/>
      <c r="F301" s="5" t="n">
        <v>30.2</v>
      </c>
      <c r="G301" s="5">
        <f>G300+E301-F301</f>
        <v/>
      </c>
    </row>
    <row r="302">
      <c r="A302" s="3" t="inlineStr">
        <is>
          <t>26/08/2024</t>
        </is>
      </c>
      <c r="B302" s="3" t="inlineStr">
        <is>
          <t>1200 - Bank</t>
        </is>
      </c>
      <c r="C302" s="3" t="inlineStr">
        <is>
          <t>Fin: SAINSBURYS SUPERMA,KENNEDY C,BELFAS</t>
        </is>
      </c>
      <c r="D302" s="3" t="inlineStr"/>
      <c r="E302" s="4" t="n"/>
      <c r="F302" s="4" t="n">
        <v>0.95</v>
      </c>
      <c r="G302" s="4">
        <f>G301+E302-F302</f>
        <v/>
      </c>
    </row>
    <row r="303">
      <c r="A303" t="inlineStr">
        <is>
          <t>26/08/2024</t>
        </is>
      </c>
      <c r="B303" t="inlineStr">
        <is>
          <t>1200 - Bank</t>
        </is>
      </c>
      <c r="C303" t="inlineStr">
        <is>
          <t>G LECKEY 1006862278 gary le</t>
        </is>
      </c>
      <c r="D303" t="inlineStr"/>
      <c r="E303" s="5" t="n">
        <v>10.3</v>
      </c>
      <c r="F303" s="5" t="n"/>
      <c r="G303" s="5">
        <f>G302+E303-F303</f>
        <v/>
      </c>
    </row>
    <row r="304">
      <c r="A304" s="3" t="inlineStr">
        <is>
          <t>27/08/2024</t>
        </is>
      </c>
      <c r="B304" s="3" t="inlineStr">
        <is>
          <t>1200 - Bank</t>
        </is>
      </c>
      <c r="C304" s="3" t="inlineStr">
        <is>
          <t>BROWN T TINA</t>
        </is>
      </c>
      <c r="D304" s="3" t="inlineStr"/>
      <c r="E304" s="4" t="n">
        <v>30</v>
      </c>
      <c r="F304" s="4" t="n"/>
      <c r="G304" s="4">
        <f>G303+E304-F304</f>
        <v/>
      </c>
    </row>
    <row r="305">
      <c r="A305" t="inlineStr">
        <is>
          <t>27/08/2024</t>
        </is>
      </c>
      <c r="B305" t="inlineStr">
        <is>
          <t>1200 - Bank</t>
        </is>
      </c>
      <c r="C305" t="inlineStr">
        <is>
          <t>BROWN T TINA</t>
        </is>
      </c>
      <c r="D305" t="inlineStr"/>
      <c r="E305" s="5" t="n">
        <v>90</v>
      </c>
      <c r="F305" s="5" t="n"/>
      <c r="G305" s="5">
        <f>G304+E305-F305</f>
        <v/>
      </c>
    </row>
    <row r="306">
      <c r="A306" s="3" t="inlineStr">
        <is>
          <t>27/08/2024</t>
        </is>
      </c>
      <c r="B306" s="3" t="inlineStr">
        <is>
          <t>1200 - Bank</t>
        </is>
      </c>
      <c r="C306" s="3" t="inlineStr">
        <is>
          <t>Fin: GO TWIN SPIRES,5 FALLS ROAD,BELFAST</t>
        </is>
      </c>
      <c r="D306" s="3" t="inlineStr"/>
      <c r="E306" s="4" t="n"/>
      <c r="F306" s="4" t="n">
        <v>10.3</v>
      </c>
      <c r="G306" s="4">
        <f>G305+E306-F306</f>
        <v/>
      </c>
    </row>
    <row r="307">
      <c r="A307" t="inlineStr">
        <is>
          <t>28/08/2024</t>
        </is>
      </c>
      <c r="B307" t="inlineStr">
        <is>
          <t>1200 - Bank</t>
        </is>
      </c>
      <c r="C307" t="inlineStr">
        <is>
          <t>Fin: E01604100000000,MCPEAKES 1 S,BELFAS</t>
        </is>
      </c>
      <c r="D307" t="inlineStr"/>
      <c r="E307" s="5" t="n"/>
      <c r="F307" s="5" t="n">
        <v>21.99</v>
      </c>
      <c r="G307" s="5">
        <f>G306+E307-F307</f>
        <v/>
      </c>
    </row>
    <row r="308">
      <c r="A308" s="3" t="inlineStr">
        <is>
          <t>28/08/2024</t>
        </is>
      </c>
      <c r="B308" s="3" t="inlineStr">
        <is>
          <t>1200 - Bank</t>
        </is>
      </c>
      <c r="C308" s="3" t="inlineStr">
        <is>
          <t>Fin: E07047700000000,FALLS ROAD, ,BELFAS</t>
        </is>
      </c>
      <c r="D308" s="3" t="inlineStr"/>
      <c r="E308" s="4" t="n"/>
      <c r="F308" s="4" t="n">
        <v>90</v>
      </c>
      <c r="G308" s="4">
        <f>G307+E308-F308</f>
        <v/>
      </c>
    </row>
    <row r="309">
      <c r="A309" t="inlineStr">
        <is>
          <t>30/08/2024</t>
        </is>
      </c>
      <c r="B309" t="inlineStr">
        <is>
          <t>1200 - Bank</t>
        </is>
      </c>
      <c r="C309" t="inlineStr">
        <is>
          <t>BROWN T TINA</t>
        </is>
      </c>
      <c r="D309" t="inlineStr"/>
      <c r="E309" s="5" t="n">
        <v>450</v>
      </c>
      <c r="F309" s="5" t="n"/>
      <c r="G309" s="5">
        <f>G308+E309-F309</f>
        <v/>
      </c>
    </row>
    <row r="310">
      <c r="A310" s="3" t="inlineStr">
        <is>
          <t>30/08/2024</t>
        </is>
      </c>
      <c r="B310" s="3" t="inlineStr">
        <is>
          <t>1200 - Bank</t>
        </is>
      </c>
      <c r="C310" s="3" t="inlineStr">
        <is>
          <t>Ravenous Ravenous</t>
        </is>
      </c>
      <c r="D310" s="3" t="inlineStr"/>
      <c r="E310" s="4" t="n">
        <v>1</v>
      </c>
      <c r="F310" s="4" t="n"/>
      <c r="G310" s="4">
        <f>G309+E310-F310</f>
        <v/>
      </c>
    </row>
    <row r="311">
      <c r="A311" t="inlineStr">
        <is>
          <t>30/08/2024</t>
        </is>
      </c>
      <c r="B311" t="inlineStr">
        <is>
          <t>1200 - Bank</t>
        </is>
      </c>
      <c r="C311" t="inlineStr">
        <is>
          <t>Ravenous Ravenous</t>
        </is>
      </c>
      <c r="D311" t="inlineStr"/>
      <c r="E311" s="5" t="n">
        <v>500</v>
      </c>
      <c r="F311" s="5" t="n"/>
      <c r="G311" s="5">
        <f>G310+E311-F311</f>
        <v/>
      </c>
    </row>
    <row r="312">
      <c r="A312" s="3" t="inlineStr">
        <is>
          <t>30/08/2024</t>
        </is>
      </c>
      <c r="B312" s="3" t="inlineStr">
        <is>
          <t>1200 - Bank</t>
        </is>
      </c>
      <c r="C312" s="3" t="inlineStr">
        <is>
          <t>Ravenous Ravenous</t>
        </is>
      </c>
      <c r="D312" s="3" t="inlineStr"/>
      <c r="E312" s="4" t="n">
        <v>500</v>
      </c>
      <c r="F312" s="4" t="n"/>
      <c r="G312" s="4">
        <f>G311+E312-F312</f>
        <v/>
      </c>
    </row>
    <row r="313">
      <c r="A313" t="inlineStr">
        <is>
          <t>30/08/2024</t>
        </is>
      </c>
      <c r="B313" t="inlineStr">
        <is>
          <t>1200 - Bank</t>
        </is>
      </c>
      <c r="C313" t="inlineStr">
        <is>
          <t>tina brown tina</t>
        </is>
      </c>
      <c r="D313" t="inlineStr"/>
      <c r="E313" s="5" t="n"/>
      <c r="F313" s="5" t="n">
        <v>950</v>
      </c>
      <c r="G313" s="5">
        <f>G312+E313-F313</f>
        <v/>
      </c>
    </row>
    <row r="314">
      <c r="A314" s="3" t="inlineStr">
        <is>
          <t>31/08/2024</t>
        </is>
      </c>
      <c r="B314" s="3" t="inlineStr">
        <is>
          <t>1200 - Bank</t>
        </is>
      </c>
      <c r="C314" s="3" t="inlineStr">
        <is>
          <t>BROWN T TINA</t>
        </is>
      </c>
      <c r="D314" s="3" t="inlineStr"/>
      <c r="E314" s="4" t="n">
        <v>500</v>
      </c>
      <c r="F314" s="4" t="n"/>
      <c r="G314" s="4">
        <f>G313+E314-F314</f>
        <v/>
      </c>
    </row>
    <row r="315">
      <c r="A315" t="inlineStr">
        <is>
          <t>31/08/2024</t>
        </is>
      </c>
      <c r="B315" t="inlineStr">
        <is>
          <t>1200 - Bank</t>
        </is>
      </c>
      <c r="C315" t="inlineStr">
        <is>
          <t>Fin: ChangeGroup UK Falls ,9,Belfast, An</t>
        </is>
      </c>
      <c r="D315" t="inlineStr"/>
      <c r="E315" s="5" t="n"/>
      <c r="F315" s="5" t="n">
        <v>141</v>
      </c>
      <c r="G315" s="5">
        <f>G314+E315-F315</f>
        <v/>
      </c>
    </row>
    <row r="316">
      <c r="A316" s="3" t="inlineStr">
        <is>
          <t>31/08/2024</t>
        </is>
      </c>
      <c r="B316" s="3" t="inlineStr">
        <is>
          <t>1200 - Bank</t>
        </is>
      </c>
      <c r="C316" s="3" t="inlineStr">
        <is>
          <t>Fin: ChangeGroup UK Falls ,9,Belfast, An</t>
        </is>
      </c>
      <c r="D316" s="3" t="inlineStr"/>
      <c r="E316" s="4" t="n"/>
      <c r="F316" s="4" t="n">
        <v>351</v>
      </c>
      <c r="G316" s="4">
        <f>G315+E316-F316</f>
        <v/>
      </c>
    </row>
    <row r="317">
      <c r="A317" t="inlineStr">
        <is>
          <t>31/08/2024</t>
        </is>
      </c>
      <c r="B317" t="inlineStr">
        <is>
          <t>1200 - Bank</t>
        </is>
      </c>
      <c r="C317" t="inlineStr">
        <is>
          <t>PID 686206 [COB72XWVQV]</t>
        </is>
      </c>
      <c r="D317" t="inlineStr"/>
      <c r="E317" s="5" t="n">
        <v>0.98</v>
      </c>
      <c r="F317" s="5" t="n"/>
      <c r="G317" s="5">
        <f>G316+E317-F317</f>
        <v/>
      </c>
    </row>
    <row r="318">
      <c r="A318" s="3" t="inlineStr">
        <is>
          <t>01/09/2024</t>
        </is>
      </c>
      <c r="B318" s="3" t="inlineStr">
        <is>
          <t>1200 - Bank</t>
        </is>
      </c>
      <c r="C318" s="3" t="inlineStr">
        <is>
          <t>R&amp;A consulting and brokerage services Se</t>
        </is>
      </c>
      <c r="D318" s="3" t="inlineStr"/>
      <c r="E318" s="4" t="n">
        <v>0.5</v>
      </c>
      <c r="F318" s="4" t="n"/>
      <c r="G318" s="4">
        <f>G317+E318-F318</f>
        <v/>
      </c>
    </row>
    <row r="319">
      <c r="A319" t="inlineStr">
        <is>
          <t>01/09/2024</t>
        </is>
      </c>
      <c r="B319" t="inlineStr">
        <is>
          <t>1200 - Bank</t>
        </is>
      </c>
      <c r="C319" t="inlineStr">
        <is>
          <t>tina brown tina</t>
        </is>
      </c>
      <c r="D319" t="inlineStr"/>
      <c r="E319" s="5" t="n"/>
      <c r="F319" s="5" t="n">
        <v>103</v>
      </c>
      <c r="G319" s="5">
        <f>G318+E319-F319</f>
        <v/>
      </c>
    </row>
    <row r="320">
      <c r="A320" s="3" t="inlineStr">
        <is>
          <t>01/09/2024</t>
        </is>
      </c>
      <c r="B320" s="3" t="inlineStr">
        <is>
          <t>1200 - Bank</t>
        </is>
      </c>
      <c r="C320" s="3" t="inlineStr">
        <is>
          <t>tina brown tina</t>
        </is>
      </c>
      <c r="D320" s="3" t="inlineStr"/>
      <c r="E320" s="4" t="n"/>
      <c r="F320" s="4" t="n">
        <v>70</v>
      </c>
      <c r="G320" s="4">
        <f>G319+E320-F320</f>
        <v/>
      </c>
    </row>
    <row r="321">
      <c r="A321" t="inlineStr">
        <is>
          <t>01/09/2024</t>
        </is>
      </c>
      <c r="B321" t="inlineStr">
        <is>
          <t>1200 - Bank</t>
        </is>
      </c>
      <c r="C321" t="inlineStr">
        <is>
          <t>R@A consulting and brokerage services 10175600 [CON5JXJ4LZ]</t>
        </is>
      </c>
      <c r="D321" t="inlineStr"/>
      <c r="E321" s="5" t="n"/>
      <c r="F321" s="5" t="n">
        <v>0.5</v>
      </c>
      <c r="G321" s="5">
        <f>G320+E321-F321</f>
        <v/>
      </c>
    </row>
    <row r="322">
      <c r="A322" s="3" t="inlineStr">
        <is>
          <t>02/09/2024</t>
        </is>
      </c>
      <c r="B322" s="3" t="inlineStr">
        <is>
          <t>1200 - Bank</t>
        </is>
      </c>
      <c r="C322" s="3" t="inlineStr">
        <is>
          <t>BROWN T TINA</t>
        </is>
      </c>
      <c r="D322" s="3" t="inlineStr"/>
      <c r="E322" s="4" t="n">
        <v>38.63</v>
      </c>
      <c r="F322" s="4" t="n"/>
      <c r="G322" s="4">
        <f>G321+E322-F322</f>
        <v/>
      </c>
    </row>
    <row r="323">
      <c r="A323" t="inlineStr">
        <is>
          <t>02/09/2024</t>
        </is>
      </c>
      <c r="B323" t="inlineStr">
        <is>
          <t>1200 - Bank</t>
        </is>
      </c>
      <c r="C323" t="inlineStr">
        <is>
          <t>Fin: E01604100000000,MCPEAKES 1 S,BELFAS</t>
        </is>
      </c>
      <c r="D323" t="inlineStr"/>
      <c r="E323" s="5" t="n"/>
      <c r="F323" s="5" t="n">
        <v>251.99</v>
      </c>
      <c r="G323" s="5">
        <f>G322+E323-F323</f>
        <v/>
      </c>
    </row>
    <row r="324">
      <c r="A324" s="3" t="inlineStr">
        <is>
          <t>02/09/2024</t>
        </is>
      </c>
      <c r="B324" s="3" t="inlineStr">
        <is>
          <t>1200 - Bank</t>
        </is>
      </c>
      <c r="C324" s="3" t="inlineStr">
        <is>
          <t>Fin: E01604100000000,MCPEAKES 1 S,BELFAS</t>
        </is>
      </c>
      <c r="D324" s="3" t="inlineStr"/>
      <c r="E324" s="4" t="n"/>
      <c r="F324" s="4" t="n">
        <v>91.98999999999999</v>
      </c>
      <c r="G324" s="4">
        <f>G323+E324-F324</f>
        <v/>
      </c>
    </row>
    <row r="325">
      <c r="A325" t="inlineStr">
        <is>
          <t>03/09/2024</t>
        </is>
      </c>
      <c r="B325" t="inlineStr">
        <is>
          <t>1200 - Bank</t>
        </is>
      </c>
      <c r="C325" t="inlineStr">
        <is>
          <t>BROWN T TINA</t>
        </is>
      </c>
      <c r="D325" t="inlineStr"/>
      <c r="E325" s="5" t="n">
        <v>100</v>
      </c>
      <c r="F325" s="5" t="n"/>
      <c r="G325" s="5">
        <f>G324+E325-F325</f>
        <v/>
      </c>
    </row>
    <row r="326">
      <c r="A326" s="3" t="inlineStr">
        <is>
          <t>03/09/2024</t>
        </is>
      </c>
      <c r="B326" s="3" t="inlineStr">
        <is>
          <t>1200 - Bank</t>
        </is>
      </c>
      <c r="C326" s="3" t="inlineStr">
        <is>
          <t>BROWN T TINA</t>
        </is>
      </c>
      <c r="D326" s="3" t="inlineStr"/>
      <c r="E326" s="4" t="n">
        <v>60</v>
      </c>
      <c r="F326" s="4" t="n"/>
      <c r="G326" s="4">
        <f>G325+E326-F326</f>
        <v/>
      </c>
    </row>
    <row r="327">
      <c r="A327" t="inlineStr">
        <is>
          <t>03/09/2024</t>
        </is>
      </c>
      <c r="B327" t="inlineStr">
        <is>
          <t>1200 - Bank</t>
        </is>
      </c>
      <c r="C327" t="inlineStr">
        <is>
          <t>Ravenous Ravenous</t>
        </is>
      </c>
      <c r="D327" t="inlineStr"/>
      <c r="E327" s="5" t="n">
        <v>250</v>
      </c>
      <c r="F327" s="5" t="n"/>
      <c r="G327" s="5">
        <f>G326+E327-F327</f>
        <v/>
      </c>
    </row>
    <row r="328">
      <c r="A328" s="3" t="inlineStr">
        <is>
          <t>04/09/2024</t>
        </is>
      </c>
      <c r="B328" s="3" t="inlineStr">
        <is>
          <t>1200 - Bank</t>
        </is>
      </c>
      <c r="C328" s="3" t="inlineStr">
        <is>
          <t>Fin: E01604100000000,MCPEAKES 1 S,BELFAS</t>
        </is>
      </c>
      <c r="D328" s="3" t="inlineStr"/>
      <c r="E328" s="4" t="n"/>
      <c r="F328" s="4" t="n">
        <v>101.99</v>
      </c>
      <c r="G328" s="4">
        <f>G327+E328-F328</f>
        <v/>
      </c>
    </row>
    <row r="329">
      <c r="A329" t="inlineStr">
        <is>
          <t>05/09/2024</t>
        </is>
      </c>
      <c r="B329" t="inlineStr">
        <is>
          <t>1200 - Bank</t>
        </is>
      </c>
      <c r="C329" t="inlineStr">
        <is>
          <t>Fin: E01604100000000,MCPEAKES 1 S,BELFAS</t>
        </is>
      </c>
      <c r="D329" t="inlineStr"/>
      <c r="E329" s="5" t="n"/>
      <c r="F329" s="5" t="n">
        <v>231.99</v>
      </c>
      <c r="G329" s="5">
        <f>G328+E329-F329</f>
        <v/>
      </c>
    </row>
    <row r="330">
      <c r="A330" s="3" t="inlineStr">
        <is>
          <t>05/09/2024</t>
        </is>
      </c>
      <c r="B330" s="3" t="inlineStr">
        <is>
          <t>1200 - Bank</t>
        </is>
      </c>
      <c r="C330" s="3" t="inlineStr">
        <is>
          <t>tina brown tina</t>
        </is>
      </c>
      <c r="D330" s="3" t="inlineStr"/>
      <c r="E330" s="4" t="n"/>
      <c r="F330" s="4" t="n">
        <v>15</v>
      </c>
      <c r="G330" s="4">
        <f>G329+E330-F330</f>
        <v/>
      </c>
    </row>
    <row r="331">
      <c r="A331" t="inlineStr">
        <is>
          <t>05/09/2024</t>
        </is>
      </c>
      <c r="B331" t="inlineStr">
        <is>
          <t>1200 - Bank</t>
        </is>
      </c>
      <c r="C331" t="inlineStr">
        <is>
          <t>tina brown tina</t>
        </is>
      </c>
      <c r="D331" t="inlineStr"/>
      <c r="E331" s="5" t="n"/>
      <c r="F331" s="5" t="n">
        <v>60</v>
      </c>
      <c r="G331" s="5">
        <f>G330+E331-F331</f>
        <v/>
      </c>
    </row>
    <row r="332">
      <c r="A332" s="3" t="inlineStr">
        <is>
          <t>06/09/2024</t>
        </is>
      </c>
      <c r="B332" s="3" t="inlineStr">
        <is>
          <t>1200 - Bank</t>
        </is>
      </c>
      <c r="C332" s="3" t="inlineStr">
        <is>
          <t>**** Cashback ****</t>
        </is>
      </c>
      <c r="D332" s="3" t="inlineStr"/>
      <c r="E332" s="4" t="n">
        <v>1.35</v>
      </c>
      <c r="F332" s="4" t="n"/>
      <c r="G332" s="4">
        <f>G331+E332-F332</f>
        <v/>
      </c>
    </row>
    <row r="333">
      <c r="A333" t="inlineStr">
        <is>
          <t>06/09/2024</t>
        </is>
      </c>
      <c r="B333" t="inlineStr">
        <is>
          <t>1200 - Bank</t>
        </is>
      </c>
      <c r="C333" t="inlineStr">
        <is>
          <t>BROWN T TINA</t>
        </is>
      </c>
      <c r="D333" t="inlineStr"/>
      <c r="E333" s="5" t="n">
        <v>20</v>
      </c>
      <c r="F333" s="5" t="n"/>
      <c r="G333" s="5">
        <f>G332+E333-F333</f>
        <v/>
      </c>
    </row>
    <row r="334">
      <c r="A334" s="3" t="inlineStr">
        <is>
          <t>06/09/2024</t>
        </is>
      </c>
      <c r="B334" s="3" t="inlineStr">
        <is>
          <t>1200 - Bank</t>
        </is>
      </c>
      <c r="C334" s="3" t="inlineStr">
        <is>
          <t>Fin: Airport Road Service S,11 Tu,Crumli</t>
        </is>
      </c>
      <c r="D334" s="3" t="inlineStr"/>
      <c r="E334" s="4" t="n"/>
      <c r="F334" s="4" t="n">
        <v>28.18</v>
      </c>
      <c r="G334" s="4">
        <f>G333+E334-F334</f>
        <v/>
      </c>
    </row>
    <row r="335">
      <c r="A335" t="inlineStr">
        <is>
          <t>06/09/2024</t>
        </is>
      </c>
      <c r="B335" t="inlineStr">
        <is>
          <t>1200 - Bank</t>
        </is>
      </c>
      <c r="C335" t="inlineStr">
        <is>
          <t>Fin: NYX*ClearhillUK,main street,Belfast</t>
        </is>
      </c>
      <c r="D335" t="inlineStr"/>
      <c r="E335" s="5" t="n"/>
      <c r="F335" s="5" t="n">
        <v>2</v>
      </c>
      <c r="G335" s="5">
        <f>G334+E335-F335</f>
        <v/>
      </c>
    </row>
    <row r="336">
      <c r="A336" s="3" t="inlineStr">
        <is>
          <t>06/09/2024</t>
        </is>
      </c>
      <c r="B336" s="3" t="inlineStr">
        <is>
          <t>1200 - Bank</t>
        </is>
      </c>
      <c r="C336" s="3" t="inlineStr">
        <is>
          <t>Gary leckey Sumup</t>
        </is>
      </c>
      <c r="D336" s="3" t="inlineStr"/>
      <c r="E336" s="4" t="n"/>
      <c r="F336" s="4" t="n">
        <v>1</v>
      </c>
      <c r="G336" s="4">
        <f>G335+E336-F336</f>
        <v/>
      </c>
    </row>
    <row r="337">
      <c r="A337" t="inlineStr">
        <is>
          <t>06/09/2024</t>
        </is>
      </c>
      <c r="B337" t="inlineStr">
        <is>
          <t>1200 - Bank</t>
        </is>
      </c>
      <c r="C337" t="inlineStr">
        <is>
          <t>Ravenous Ravenous</t>
        </is>
      </c>
      <c r="D337" t="inlineStr"/>
      <c r="E337" s="5" t="n">
        <v>450</v>
      </c>
      <c r="F337" s="5" t="n"/>
      <c r="G337" s="5">
        <f>G336+E337-F337</f>
        <v/>
      </c>
    </row>
    <row r="338">
      <c r="A338" s="3" t="inlineStr">
        <is>
          <t>06/09/2024</t>
        </is>
      </c>
      <c r="B338" s="3" t="inlineStr">
        <is>
          <t>1200 - Bank</t>
        </is>
      </c>
      <c r="C338" s="3" t="inlineStr">
        <is>
          <t>RA CONSULTING 10175600 [COZKYZZ5V7]</t>
        </is>
      </c>
      <c r="D338" s="3" t="inlineStr"/>
      <c r="E338" s="4" t="n">
        <v>1</v>
      </c>
      <c r="F338" s="4" t="n"/>
      <c r="G338" s="4">
        <f>G337+E338-F338</f>
        <v/>
      </c>
    </row>
    <row r="339">
      <c r="A339" t="inlineStr">
        <is>
          <t>07/09/2024</t>
        </is>
      </c>
      <c r="B339" t="inlineStr">
        <is>
          <t>1200 - Bank</t>
        </is>
      </c>
      <c r="C339" t="inlineStr">
        <is>
          <t>BROWN T TINA</t>
        </is>
      </c>
      <c r="D339" t="inlineStr"/>
      <c r="E339" s="5" t="n">
        <v>20</v>
      </c>
      <c r="F339" s="5" t="n"/>
      <c r="G339" s="5">
        <f>G338+E339-F339</f>
        <v/>
      </c>
    </row>
    <row r="340">
      <c r="A340" s="3" t="inlineStr">
        <is>
          <t>07/09/2024</t>
        </is>
      </c>
      <c r="B340" s="3" t="inlineStr">
        <is>
          <t>1200 - Bank</t>
        </is>
      </c>
      <c r="C340" s="3" t="inlineStr">
        <is>
          <t>BROWN T TINA</t>
        </is>
      </c>
      <c r="D340" s="3" t="inlineStr"/>
      <c r="E340" s="4" t="n">
        <v>50</v>
      </c>
      <c r="F340" s="4" t="n"/>
      <c r="G340" s="4">
        <f>G339+E340-F340</f>
        <v/>
      </c>
    </row>
    <row r="341">
      <c r="A341" t="inlineStr">
        <is>
          <t>07/09/2024</t>
        </is>
      </c>
      <c r="B341" t="inlineStr">
        <is>
          <t>1200 - Bank</t>
        </is>
      </c>
      <c r="C341" t="inlineStr">
        <is>
          <t>Fin: ChangeGroup UK Falls ,9,Belfast, An</t>
        </is>
      </c>
      <c r="D341" t="inlineStr"/>
      <c r="E341" s="5" t="n"/>
      <c r="F341" s="5" t="n">
        <v>451</v>
      </c>
      <c r="G341" s="5">
        <f>G340+E341-F341</f>
        <v/>
      </c>
    </row>
    <row r="342">
      <c r="A342" s="3" t="inlineStr">
        <is>
          <t>07/09/2024</t>
        </is>
      </c>
      <c r="B342" s="3" t="inlineStr">
        <is>
          <t>1200 - Bank</t>
        </is>
      </c>
      <c r="C342" s="3" t="inlineStr">
        <is>
          <t>Fin: EUROSPAR CRUMLIN,3 MILL ROAD,CRUMLI</t>
        </is>
      </c>
      <c r="D342" s="3" t="inlineStr"/>
      <c r="E342" s="4" t="n"/>
      <c r="F342" s="4" t="n">
        <v>7.5</v>
      </c>
      <c r="G342" s="4">
        <f>G341+E342-F342</f>
        <v/>
      </c>
    </row>
    <row r="343">
      <c r="A343" t="inlineStr">
        <is>
          <t>07/09/2024</t>
        </is>
      </c>
      <c r="B343" t="inlineStr">
        <is>
          <t>1200 - Bank</t>
        </is>
      </c>
      <c r="C343" t="inlineStr">
        <is>
          <t>Fin: PPOINT_*Hugh's Confect,32 Cl,Belfas</t>
        </is>
      </c>
      <c r="D343" t="inlineStr"/>
      <c r="E343" s="5" t="n"/>
      <c r="F343" s="5" t="n">
        <v>1.5</v>
      </c>
      <c r="G343" s="5">
        <f>G342+E343-F343</f>
        <v/>
      </c>
    </row>
    <row r="344">
      <c r="A344" s="3" t="inlineStr">
        <is>
          <t>07/09/2024</t>
        </is>
      </c>
      <c r="B344" s="3" t="inlineStr">
        <is>
          <t>1200 - Bank</t>
        </is>
      </c>
      <c r="C344" s="3" t="inlineStr">
        <is>
          <t>Fin: SPAR TWIN SPIRES,UNIT 17-21 ,BELFAS</t>
        </is>
      </c>
      <c r="D344" s="3" t="inlineStr"/>
      <c r="E344" s="4" t="n"/>
      <c r="F344" s="4" t="n">
        <v>6.81</v>
      </c>
      <c r="G344" s="4">
        <f>G343+E344-F344</f>
        <v/>
      </c>
    </row>
    <row r="345">
      <c r="A345" t="inlineStr">
        <is>
          <t>09/09/2024</t>
        </is>
      </c>
      <c r="B345" t="inlineStr">
        <is>
          <t>1200 - Bank</t>
        </is>
      </c>
      <c r="C345" t="inlineStr">
        <is>
          <t>BROWN T TINA</t>
        </is>
      </c>
      <c r="D345" t="inlineStr"/>
      <c r="E345" s="5" t="n">
        <v>10</v>
      </c>
      <c r="F345" s="5" t="n"/>
      <c r="G345" s="5">
        <f>G344+E345-F345</f>
        <v/>
      </c>
    </row>
    <row r="346">
      <c r="A346" s="3" t="inlineStr">
        <is>
          <t>09/09/2024</t>
        </is>
      </c>
      <c r="B346" s="3" t="inlineStr">
        <is>
          <t>1200 - Bank</t>
        </is>
      </c>
      <c r="C346" s="3" t="inlineStr">
        <is>
          <t>Fin: BOOKER LTD - 38621844,,WELLINGBOROU</t>
        </is>
      </c>
      <c r="D346" s="3" t="inlineStr"/>
      <c r="E346" s="4" t="n"/>
      <c r="F346" s="4" t="n">
        <v>20.39</v>
      </c>
      <c r="G346" s="4">
        <f>G345+E346-F346</f>
        <v/>
      </c>
    </row>
    <row r="347">
      <c r="A347" t="inlineStr">
        <is>
          <t>09/09/2024</t>
        </is>
      </c>
      <c r="B347" t="inlineStr">
        <is>
          <t>1200 - Bank</t>
        </is>
      </c>
      <c r="C347" t="inlineStr">
        <is>
          <t>Fin: BOOKER LTD - 38621844,,WELLINGBOROU</t>
        </is>
      </c>
      <c r="D347" t="inlineStr"/>
      <c r="E347" s="5" t="n"/>
      <c r="F347" s="5" t="n">
        <v>20.39</v>
      </c>
      <c r="G347" s="5">
        <f>G346+E347-F347</f>
        <v/>
      </c>
    </row>
    <row r="348">
      <c r="A348" s="3" t="inlineStr">
        <is>
          <t>09/09/2024</t>
        </is>
      </c>
      <c r="B348" s="3" t="inlineStr">
        <is>
          <t>1200 - Bank</t>
        </is>
      </c>
      <c r="C348" s="3" t="inlineStr">
        <is>
          <t>Fin: CAVEHILL RETAIL LTD,325 CAVE,BELFAS</t>
        </is>
      </c>
      <c r="D348" s="3" t="inlineStr"/>
      <c r="E348" s="4" t="n"/>
      <c r="F348" s="4" t="n">
        <v>4.8</v>
      </c>
      <c r="G348" s="4">
        <f>G347+E348-F348</f>
        <v/>
      </c>
    </row>
    <row r="349">
      <c r="A349" t="inlineStr">
        <is>
          <t>09/09/2024</t>
        </is>
      </c>
      <c r="B349" t="inlineStr">
        <is>
          <t>1200 - Bank</t>
        </is>
      </c>
      <c r="C349" t="inlineStr">
        <is>
          <t>Fin: CO-OP GROUP 140006,523,Old Park Roa</t>
        </is>
      </c>
      <c r="D349" t="inlineStr"/>
      <c r="E349" s="5" t="n"/>
      <c r="F349" s="5" t="n">
        <v>1.4</v>
      </c>
      <c r="G349" s="5">
        <f>G348+E349-F349</f>
        <v/>
      </c>
    </row>
    <row r="350">
      <c r="A350" s="3" t="inlineStr">
        <is>
          <t>09/09/2024</t>
        </is>
      </c>
      <c r="B350" s="3" t="inlineStr">
        <is>
          <t>1200 - Bank</t>
        </is>
      </c>
      <c r="C350" s="3" t="inlineStr">
        <is>
          <t>Fin: E00938400000000,ARDOYNE SPAR,BELFAS</t>
        </is>
      </c>
      <c r="D350" s="3" t="inlineStr"/>
      <c r="E350" s="4" t="n"/>
      <c r="F350" s="4" t="n">
        <v>20</v>
      </c>
      <c r="G350" s="4">
        <f>G349+E350-F350</f>
        <v/>
      </c>
    </row>
    <row r="351">
      <c r="A351" t="inlineStr">
        <is>
          <t>09/09/2024</t>
        </is>
      </c>
      <c r="B351" t="inlineStr">
        <is>
          <t>1200 - Bank</t>
        </is>
      </c>
      <c r="C351" t="inlineStr">
        <is>
          <t>Fin: LANDSCAPE FILLING STAT,135 C,BELFAS</t>
        </is>
      </c>
      <c r="D351" t="inlineStr"/>
      <c r="E351" s="5" t="n"/>
      <c r="F351" s="5" t="n">
        <v>1.16</v>
      </c>
      <c r="G351" s="5">
        <f>G350+E351-F351</f>
        <v/>
      </c>
    </row>
    <row r="352">
      <c r="A352" s="3" t="inlineStr">
        <is>
          <t>09/09/2024</t>
        </is>
      </c>
      <c r="B352" s="3" t="inlineStr">
        <is>
          <t>1200 - Bank</t>
        </is>
      </c>
      <c r="C352" s="3" t="inlineStr">
        <is>
          <t>Fin: MARKS&amp;SPENCER PLC SACA,BELFAST ALDE</t>
        </is>
      </c>
      <c r="D352" s="3" t="inlineStr"/>
      <c r="E352" s="4" t="n"/>
      <c r="F352" s="4" t="n">
        <v>3.4</v>
      </c>
      <c r="G352" s="4">
        <f>G351+E352-F352</f>
        <v/>
      </c>
    </row>
    <row r="353">
      <c r="A353" t="inlineStr">
        <is>
          <t>09/09/2024</t>
        </is>
      </c>
      <c r="B353" t="inlineStr">
        <is>
          <t>1200 - Bank</t>
        </is>
      </c>
      <c r="C353" t="inlineStr">
        <is>
          <t>Fin: THOMPSON AUTOMOBILES L,27/31,BELFAS</t>
        </is>
      </c>
      <c r="D353" t="inlineStr"/>
      <c r="E353" s="5" t="n"/>
      <c r="F353" s="5" t="n">
        <v>0.9399999999999999</v>
      </c>
      <c r="G353" s="5">
        <f>G352+E353-F353</f>
        <v/>
      </c>
    </row>
    <row r="354">
      <c r="A354" s="3" t="inlineStr">
        <is>
          <t>09/09/2024</t>
        </is>
      </c>
      <c r="B354" s="3" t="inlineStr">
        <is>
          <t>1200 - Bank</t>
        </is>
      </c>
      <c r="C354" s="3" t="inlineStr">
        <is>
          <t>Fin: THOMPSON AUTOMOBILES L,27/31,BELFAS</t>
        </is>
      </c>
      <c r="D354" s="3" t="inlineStr"/>
      <c r="E354" s="4" t="n"/>
      <c r="F354" s="4" t="n">
        <v>1.1</v>
      </c>
      <c r="G354" s="4">
        <f>G353+E354-F354</f>
        <v/>
      </c>
    </row>
    <row r="355">
      <c r="A355" t="inlineStr">
        <is>
          <t>09/09/2024</t>
        </is>
      </c>
      <c r="B355" t="inlineStr">
        <is>
          <t>1200 - Bank</t>
        </is>
      </c>
      <c r="C355" t="inlineStr">
        <is>
          <t>Fin: THOMPSON AUTOMOBILES L,27/31,BELFAS</t>
        </is>
      </c>
      <c r="D355" t="inlineStr"/>
      <c r="E355" s="5" t="n"/>
      <c r="F355" s="5" t="n">
        <v>3.64</v>
      </c>
      <c r="G355" s="5">
        <f>G354+E355-F355</f>
        <v/>
      </c>
    </row>
    <row r="356">
      <c r="A356" s="3" t="inlineStr">
        <is>
          <t>09/09/2024</t>
        </is>
      </c>
      <c r="B356" s="3" t="inlineStr">
        <is>
          <t>1200 - Bank</t>
        </is>
      </c>
      <c r="C356" s="3" t="inlineStr">
        <is>
          <t>gary leckey gary</t>
        </is>
      </c>
      <c r="D356" s="3" t="inlineStr"/>
      <c r="E356" s="4" t="n"/>
      <c r="F356" s="4" t="n">
        <v>5</v>
      </c>
      <c r="G356" s="4">
        <f>G355+E356-F356</f>
        <v/>
      </c>
    </row>
    <row r="357">
      <c r="A357" t="inlineStr">
        <is>
          <t>09/09/2024</t>
        </is>
      </c>
      <c r="B357" t="inlineStr">
        <is>
          <t>1200 - Bank</t>
        </is>
      </c>
      <c r="C357" t="inlineStr">
        <is>
          <t>gary leckey gary</t>
        </is>
      </c>
      <c r="D357" t="inlineStr"/>
      <c r="E357" s="5" t="n"/>
      <c r="F357" s="5" t="n">
        <v>5</v>
      </c>
      <c r="G357" s="5">
        <f>G356+E357-F357</f>
        <v/>
      </c>
    </row>
    <row r="358">
      <c r="A358" s="3" t="inlineStr">
        <is>
          <t>10/09/2024</t>
        </is>
      </c>
      <c r="B358" s="3" t="inlineStr">
        <is>
          <t>1200 - Bank</t>
        </is>
      </c>
      <c r="C358" s="3" t="inlineStr">
        <is>
          <t>Direct Debit Rejected Payment Fee</t>
        </is>
      </c>
      <c r="D358" s="3" t="inlineStr"/>
      <c r="E358" s="4" t="n"/>
      <c r="F358" s="4" t="n">
        <v>15</v>
      </c>
      <c r="G358" s="4">
        <f>G357+E358-F358</f>
        <v/>
      </c>
    </row>
    <row r="359">
      <c r="A359" t="inlineStr">
        <is>
          <t>16/09/2024</t>
        </is>
      </c>
      <c r="B359" t="inlineStr">
        <is>
          <t>1200 - Bank</t>
        </is>
      </c>
      <c r="C359" t="inlineStr">
        <is>
          <t>Brendan dillon Sub</t>
        </is>
      </c>
      <c r="D359" t="inlineStr"/>
      <c r="E359" s="5" t="n"/>
      <c r="F359" s="5" t="n">
        <v>100</v>
      </c>
      <c r="G359" s="5">
        <f>G358+E359-F359</f>
        <v/>
      </c>
    </row>
    <row r="360">
      <c r="A360" s="3" t="inlineStr">
        <is>
          <t>16/09/2024</t>
        </is>
      </c>
      <c r="B360" s="3" t="inlineStr">
        <is>
          <t>1200 - Bank</t>
        </is>
      </c>
      <c r="C360" s="3" t="inlineStr">
        <is>
          <t>G LECKEY 1006862278 gary le</t>
        </is>
      </c>
      <c r="D360" s="3" t="inlineStr"/>
      <c r="E360" s="4" t="n">
        <v>200</v>
      </c>
      <c r="F360" s="4" t="n"/>
      <c r="G360" s="4">
        <f>G359+E360-F360</f>
        <v/>
      </c>
    </row>
    <row r="361">
      <c r="A361" t="inlineStr">
        <is>
          <t>16/09/2024</t>
        </is>
      </c>
      <c r="B361" t="inlineStr">
        <is>
          <t>1200 - Bank</t>
        </is>
      </c>
      <c r="C361" t="inlineStr">
        <is>
          <t>Gary leckey Sumup</t>
        </is>
      </c>
      <c r="D361" t="inlineStr"/>
      <c r="E361" s="5" t="n"/>
      <c r="F361" s="5" t="n">
        <v>501</v>
      </c>
      <c r="G361" s="5">
        <f>G360+E361-F361</f>
        <v/>
      </c>
    </row>
    <row r="362">
      <c r="A362" s="3" t="inlineStr">
        <is>
          <t>16/09/2024</t>
        </is>
      </c>
      <c r="B362" s="3" t="inlineStr">
        <is>
          <t>1200 - Bank</t>
        </is>
      </c>
      <c r="C362" s="3" t="inlineStr">
        <is>
          <t>Gary leckey Sumup</t>
        </is>
      </c>
      <c r="D362" s="3" t="inlineStr"/>
      <c r="E362" s="4" t="n"/>
      <c r="F362" s="4" t="n">
        <v>900</v>
      </c>
      <c r="G362" s="4">
        <f>G361+E362-F362</f>
        <v/>
      </c>
    </row>
    <row r="363">
      <c r="A363" t="inlineStr">
        <is>
          <t>16/09/2024</t>
        </is>
      </c>
      <c r="B363" t="inlineStr">
        <is>
          <t>1200 - Bank</t>
        </is>
      </c>
      <c r="C363" t="inlineStr">
        <is>
          <t>Heron Bros Ltd SP0012059</t>
        </is>
      </c>
      <c r="D363" t="inlineStr"/>
      <c r="E363" s="5" t="n">
        <v>3584</v>
      </c>
      <c r="F363" s="5" t="n"/>
      <c r="G363" s="5">
        <f>G362+E363-F363</f>
        <v/>
      </c>
    </row>
    <row r="364">
      <c r="A364" s="3" t="inlineStr">
        <is>
          <t>16/09/2024</t>
        </is>
      </c>
      <c r="B364" s="3" t="inlineStr">
        <is>
          <t>1200 - Bank</t>
        </is>
      </c>
      <c r="C364" s="3" t="inlineStr">
        <is>
          <t>Stephen leckey Steven</t>
        </is>
      </c>
      <c r="D364" s="3" t="inlineStr"/>
      <c r="E364" s="4" t="n"/>
      <c r="F364" s="4" t="n">
        <v>870</v>
      </c>
      <c r="G364" s="4">
        <f>G363+E364-F364</f>
        <v/>
      </c>
    </row>
    <row r="365">
      <c r="A365" t="inlineStr">
        <is>
          <t>16/09/2024</t>
        </is>
      </c>
      <c r="B365" t="inlineStr">
        <is>
          <t>1200 - Bank</t>
        </is>
      </c>
      <c r="C365" t="inlineStr">
        <is>
          <t>gary leckey gary</t>
        </is>
      </c>
      <c r="D365" t="inlineStr"/>
      <c r="E365" s="5" t="n"/>
      <c r="F365" s="5" t="n">
        <v>900</v>
      </c>
      <c r="G365" s="5">
        <f>G364+E365-F365</f>
        <v/>
      </c>
    </row>
    <row r="366">
      <c r="A366" s="3" t="inlineStr">
        <is>
          <t>17/09/2024</t>
        </is>
      </c>
      <c r="B366" s="3" t="inlineStr">
        <is>
          <t>1200 - Bank</t>
        </is>
      </c>
      <c r="C366" s="3" t="inlineStr">
        <is>
          <t>Fin: E07047700000000,FALLS ROAD, ,BELFAS</t>
        </is>
      </c>
      <c r="D366" s="3" t="inlineStr"/>
      <c r="E366" s="4" t="n"/>
      <c r="F366" s="4" t="n">
        <v>500</v>
      </c>
      <c r="G366" s="4">
        <f>G365+E366-F366</f>
        <v/>
      </c>
    </row>
    <row r="367">
      <c r="A367" t="inlineStr">
        <is>
          <t>17/09/2024</t>
        </is>
      </c>
      <c r="B367" t="inlineStr">
        <is>
          <t>1200 - Bank</t>
        </is>
      </c>
      <c r="C367" t="inlineStr">
        <is>
          <t>R&amp;A consulting and brokerage services Se</t>
        </is>
      </c>
      <c r="D367" t="inlineStr"/>
      <c r="E367" s="5" t="n">
        <v>1.11</v>
      </c>
      <c r="F367" s="5" t="n"/>
      <c r="G367" s="5">
        <f>G366+E367-F367</f>
        <v/>
      </c>
    </row>
    <row r="368">
      <c r="A368" s="3" t="inlineStr">
        <is>
          <t>17/09/2024</t>
        </is>
      </c>
      <c r="B368" s="3" t="inlineStr">
        <is>
          <t>1200 - Bank</t>
        </is>
      </c>
      <c r="C368" s="3" t="inlineStr">
        <is>
          <t>FALLS ROAD, 155 BELFAST GB [COG56BP3GW]</t>
        </is>
      </c>
      <c r="D368" s="3" t="inlineStr"/>
      <c r="E368" s="4" t="n"/>
      <c r="F368" s="4" t="n">
        <v>403.99</v>
      </c>
      <c r="G368" s="4">
        <f>G367+E368-F368</f>
        <v/>
      </c>
    </row>
    <row r="369">
      <c r="A369" t="inlineStr">
        <is>
          <t>17/09/2024</t>
        </is>
      </c>
      <c r="B369" t="inlineStr">
        <is>
          <t>1200 - Bank</t>
        </is>
      </c>
      <c r="C369" t="inlineStr">
        <is>
          <t>FALLS ROAD, 155 BELFAST GB [COMJMB6B42]</t>
        </is>
      </c>
      <c r="D369" t="inlineStr"/>
      <c r="E369" s="5" t="n"/>
      <c r="F369" s="5" t="n">
        <v>403.99</v>
      </c>
      <c r="G369" s="5">
        <f>G368+E369-F369</f>
        <v/>
      </c>
    </row>
    <row r="370">
      <c r="A370" s="3" t="inlineStr">
        <is>
          <t>17/09/2024</t>
        </is>
      </c>
      <c r="B370" s="3" t="inlineStr">
        <is>
          <t>1200 - Bank</t>
        </is>
      </c>
      <c r="C370" s="3" t="inlineStr">
        <is>
          <t>Loveholidays London GB [COYP6MKBJM]</t>
        </is>
      </c>
      <c r="D370" s="3" t="inlineStr"/>
      <c r="E370" s="4" t="n"/>
      <c r="F370" s="4" t="n">
        <v>87.33</v>
      </c>
      <c r="G370" s="4">
        <f>G369+E370-F370</f>
        <v/>
      </c>
    </row>
    <row r="371">
      <c r="A371" t="inlineStr">
        <is>
          <t>17/09/2024</t>
        </is>
      </c>
      <c r="B371" t="inlineStr">
        <is>
          <t>1200 - Bank</t>
        </is>
      </c>
      <c r="C371" t="inlineStr">
        <is>
          <t>R@A consulting and brokerage services 10175600 [CD4RXYRPNM]</t>
        </is>
      </c>
      <c r="D371" t="inlineStr"/>
      <c r="E371" s="5" t="n"/>
      <c r="F371" s="5" t="n">
        <v>1.11</v>
      </c>
      <c r="G371" s="5">
        <f>G370+E371-F371</f>
        <v/>
      </c>
    </row>
    <row r="372">
      <c r="A372" s="3" t="inlineStr">
        <is>
          <t>17/09/2024</t>
        </is>
      </c>
      <c r="B372" s="3" t="inlineStr">
        <is>
          <t>1200 - Bank</t>
        </is>
      </c>
      <c r="C372" s="3" t="inlineStr">
        <is>
          <t>RA CONSULTING 10175600 [C93ERMRNNV]</t>
        </is>
      </c>
      <c r="D372" s="3" t="inlineStr"/>
      <c r="E372" s="4" t="n">
        <v>501</v>
      </c>
      <c r="F372" s="4" t="n"/>
      <c r="G372" s="4">
        <f>G371+E372-F372</f>
        <v/>
      </c>
    </row>
    <row r="373">
      <c r="A373" t="inlineStr">
        <is>
          <t>17/09/2024</t>
        </is>
      </c>
      <c r="B373" t="inlineStr">
        <is>
          <t>1200 - Bank</t>
        </is>
      </c>
      <c r="C373" t="inlineStr">
        <is>
          <t>RA CONSULTING 10175600 [C9B7KXK2J7]</t>
        </is>
      </c>
      <c r="D373" t="inlineStr"/>
      <c r="E373" s="5" t="n">
        <v>900</v>
      </c>
      <c r="F373" s="5" t="n"/>
      <c r="G373" s="5">
        <f>G372+E373-F373</f>
        <v/>
      </c>
    </row>
    <row r="374">
      <c r="A374" s="3" t="inlineStr">
        <is>
          <t>18/09/2024</t>
        </is>
      </c>
      <c r="B374" s="3" t="inlineStr">
        <is>
          <t>1200 - Bank</t>
        </is>
      </c>
      <c r="C374" s="3" t="inlineStr">
        <is>
          <t>Direct Debit Rejected Payment Fee</t>
        </is>
      </c>
      <c r="D374" s="3" t="inlineStr"/>
      <c r="E374" s="4" t="n"/>
      <c r="F374" s="4" t="n">
        <v>15</v>
      </c>
      <c r="G374" s="4">
        <f>G373+E374-F374</f>
        <v/>
      </c>
    </row>
    <row r="375">
      <c r="A375" t="inlineStr">
        <is>
          <t>19/09/2024</t>
        </is>
      </c>
      <c r="B375" t="inlineStr">
        <is>
          <t>1200 - Bank</t>
        </is>
      </c>
      <c r="C375" t="inlineStr">
        <is>
          <t>Tina brown 10244939 [CORRN2RJZP]</t>
        </is>
      </c>
      <c r="D375" t="inlineStr"/>
      <c r="E375" s="5" t="n"/>
      <c r="F375" s="5" t="n">
        <v>500</v>
      </c>
      <c r="G375" s="5">
        <f>G374+E375-F375</f>
        <v/>
      </c>
    </row>
    <row r="376">
      <c r="A376" s="3" t="inlineStr">
        <is>
          <t>20/09/2024</t>
        </is>
      </c>
      <c r="B376" s="3" t="inlineStr">
        <is>
          <t>1200 - Bank</t>
        </is>
      </c>
      <c r="C376" s="3" t="inlineStr">
        <is>
          <t>Heron Bros Ltd SP0012072</t>
        </is>
      </c>
      <c r="D376" s="3" t="inlineStr"/>
      <c r="E376" s="4" t="n">
        <v>3480</v>
      </c>
      <c r="F376" s="4" t="n"/>
      <c r="G376" s="4">
        <f>G375+E376-F376</f>
        <v/>
      </c>
    </row>
    <row r="377">
      <c r="A377" t="inlineStr">
        <is>
          <t>20/09/2024</t>
        </is>
      </c>
      <c r="B377" t="inlineStr">
        <is>
          <t>1200 - Bank</t>
        </is>
      </c>
      <c r="C377" t="inlineStr">
        <is>
          <t>gary leckey gary</t>
        </is>
      </c>
      <c r="D377" t="inlineStr"/>
      <c r="E377" s="5" t="n"/>
      <c r="F377" s="5" t="n">
        <v>50</v>
      </c>
      <c r="G377" s="5">
        <f>G376+E377-F377</f>
        <v/>
      </c>
    </row>
    <row r="378">
      <c r="A378" s="3" t="inlineStr">
        <is>
          <t>20/09/2024</t>
        </is>
      </c>
      <c r="B378" s="3" t="inlineStr">
        <is>
          <t>1200 - Bank</t>
        </is>
      </c>
      <c r="C378" s="3" t="inlineStr">
        <is>
          <t>gary leckey gary</t>
        </is>
      </c>
      <c r="D378" s="3" t="inlineStr"/>
      <c r="E378" s="4" t="n"/>
      <c r="F378" s="4" t="n">
        <v>70</v>
      </c>
      <c r="G378" s="4">
        <f>G377+E378-F378</f>
        <v/>
      </c>
    </row>
    <row r="379">
      <c r="A379" t="inlineStr">
        <is>
          <t>20/09/2024</t>
        </is>
      </c>
      <c r="B379" t="inlineStr">
        <is>
          <t>1200 - Bank</t>
        </is>
      </c>
      <c r="C379" t="inlineStr">
        <is>
          <t>gary leckey gary</t>
        </is>
      </c>
      <c r="D379" t="inlineStr"/>
      <c r="E379" s="5" t="n"/>
      <c r="F379" s="5" t="n">
        <v>700</v>
      </c>
      <c r="G379" s="5">
        <f>G378+E379-F379</f>
        <v/>
      </c>
    </row>
    <row r="380">
      <c r="A380" s="3" t="inlineStr">
        <is>
          <t>20/09/2024</t>
        </is>
      </c>
      <c r="B380" s="3" t="inlineStr">
        <is>
          <t>1200 - Bank</t>
        </is>
      </c>
      <c r="C380" s="3" t="inlineStr">
        <is>
          <t>tina brown tina</t>
        </is>
      </c>
      <c r="D380" s="3" t="inlineStr"/>
      <c r="E380" s="4" t="n"/>
      <c r="F380" s="4" t="n">
        <v>100</v>
      </c>
      <c r="G380" s="4">
        <f>G379+E380-F380</f>
        <v/>
      </c>
    </row>
    <row r="381">
      <c r="A381" t="inlineStr">
        <is>
          <t>20/09/2024</t>
        </is>
      </c>
      <c r="B381" t="inlineStr">
        <is>
          <t>1200 - Bank</t>
        </is>
      </c>
      <c r="C381" t="inlineStr">
        <is>
          <t>tina brown tina</t>
        </is>
      </c>
      <c r="D381" t="inlineStr"/>
      <c r="E381" s="5" t="n"/>
      <c r="F381" s="5" t="n">
        <v>2000</v>
      </c>
      <c r="G381" s="5">
        <f>G380+E381-F381</f>
        <v/>
      </c>
    </row>
    <row r="382">
      <c r="A382" s="3" t="inlineStr">
        <is>
          <t>21/09/2024</t>
        </is>
      </c>
      <c r="B382" s="3" t="inlineStr">
        <is>
          <t>1200 - Bank</t>
        </is>
      </c>
      <c r="C382" s="3" t="inlineStr">
        <is>
          <t>Fin: ENUK0481,CRUMLIN ROAD,BELFAST,GBR</t>
        </is>
      </c>
      <c r="D382" s="3" t="inlineStr"/>
      <c r="E382" s="4" t="n"/>
      <c r="F382" s="4" t="n">
        <v>250</v>
      </c>
      <c r="G382" s="4">
        <f>G381+E382-F382</f>
        <v/>
      </c>
    </row>
    <row r="383">
      <c r="A383" t="inlineStr">
        <is>
          <t>21/09/2024</t>
        </is>
      </c>
      <c r="B383" t="inlineStr">
        <is>
          <t>1200 - Bank</t>
        </is>
      </c>
      <c r="C383" t="inlineStr">
        <is>
          <t>Fin: ENUK0481,CRUMLIN ROAD,BELFAST,GBR</t>
        </is>
      </c>
      <c r="D383" t="inlineStr"/>
      <c r="E383" s="5" t="n"/>
      <c r="F383" s="5" t="n">
        <v>250</v>
      </c>
      <c r="G383" s="5">
        <f>G382+E383-F383</f>
        <v/>
      </c>
    </row>
    <row r="384">
      <c r="A384" s="3" t="inlineStr">
        <is>
          <t>21/09/2024</t>
        </is>
      </c>
      <c r="B384" s="3" t="inlineStr">
        <is>
          <t>1200 - Bank</t>
        </is>
      </c>
      <c r="C384" s="3" t="inlineStr">
        <is>
          <t>Monthly subscription</t>
        </is>
      </c>
      <c r="D384" s="3" t="inlineStr"/>
      <c r="E384" s="4" t="n"/>
      <c r="F384" s="4" t="n">
        <v>9</v>
      </c>
      <c r="G384" s="4">
        <f>G383+E384-F384</f>
        <v/>
      </c>
    </row>
    <row r="385">
      <c r="A385" t="inlineStr">
        <is>
          <t>23/09/2024</t>
        </is>
      </c>
      <c r="B385" t="inlineStr">
        <is>
          <t>1200 - Bank</t>
        </is>
      </c>
      <c r="C385" t="inlineStr">
        <is>
          <t>Fin: LANDSCAPE FILLING STAT,135 C,BELFAS</t>
        </is>
      </c>
      <c r="D385" t="inlineStr"/>
      <c r="E385" s="5" t="n"/>
      <c r="F385" s="5" t="n">
        <v>0.89</v>
      </c>
      <c r="G385" s="5">
        <f>G384+E385-F385</f>
        <v/>
      </c>
    </row>
    <row r="386">
      <c r="A386" s="3" t="inlineStr">
        <is>
          <t>23/09/2024</t>
        </is>
      </c>
      <c r="B386" s="3" t="inlineStr">
        <is>
          <t>1200 - Bank</t>
        </is>
      </c>
      <c r="C386" s="3" t="inlineStr">
        <is>
          <t>Fin: LANDSCAPE FILLING STAT,135 C,BELFAS</t>
        </is>
      </c>
      <c r="D386" s="3" t="inlineStr"/>
      <c r="E386" s="4" t="n"/>
      <c r="F386" s="4" t="n">
        <v>26.27</v>
      </c>
      <c r="G386" s="4">
        <f>G385+E386-F386</f>
        <v/>
      </c>
    </row>
    <row r="387">
      <c r="A387" t="inlineStr">
        <is>
          <t>23/09/2024</t>
        </is>
      </c>
      <c r="B387" t="inlineStr">
        <is>
          <t>1200 - Bank</t>
        </is>
      </c>
      <c r="C387" t="inlineStr">
        <is>
          <t>Fin: SAINSBURYS SUPERMA,KENNEDY C,BELFAS</t>
        </is>
      </c>
      <c r="D387" t="inlineStr"/>
      <c r="E387" s="5" t="n"/>
      <c r="F387" s="5" t="n">
        <v>9.5</v>
      </c>
      <c r="G387" s="5">
        <f>G386+E387-F387</f>
        <v/>
      </c>
    </row>
    <row r="388">
      <c r="A388" s="3" t="inlineStr">
        <is>
          <t>23/09/2024</t>
        </is>
      </c>
      <c r="B388" s="3" t="inlineStr">
        <is>
          <t>1200 - Bank</t>
        </is>
      </c>
      <c r="C388" s="3" t="inlineStr">
        <is>
          <t>G LECKEY 1006862278 gary le</t>
        </is>
      </c>
      <c r="D388" s="3" t="inlineStr"/>
      <c r="E388" s="4" t="n">
        <v>60</v>
      </c>
      <c r="F388" s="4" t="n"/>
      <c r="G388" s="4">
        <f>G387+E388-F388</f>
        <v/>
      </c>
    </row>
    <row r="389">
      <c r="A389" t="inlineStr">
        <is>
          <t>24/09/2024</t>
        </is>
      </c>
      <c r="B389" t="inlineStr">
        <is>
          <t>1200 - Bank</t>
        </is>
      </c>
      <c r="C389" t="inlineStr">
        <is>
          <t>Fin: SCREWFIX DIRECT,UNIT 2 ,BELFAST 173</t>
        </is>
      </c>
      <c r="D389" t="inlineStr"/>
      <c r="E389" s="5" t="n"/>
      <c r="F389" s="5" t="n">
        <v>40.16</v>
      </c>
      <c r="G389" s="5">
        <f>G388+E389-F389</f>
        <v/>
      </c>
    </row>
    <row r="390">
      <c r="A390" s="3" t="inlineStr">
        <is>
          <t>24/09/2024</t>
        </is>
      </c>
      <c r="B390" s="3" t="inlineStr">
        <is>
          <t>1200 - Bank</t>
        </is>
      </c>
      <c r="C390" s="3" t="inlineStr">
        <is>
          <t>gary leckey gary</t>
        </is>
      </c>
      <c r="D390" s="3" t="inlineStr"/>
      <c r="E390" s="4" t="n"/>
      <c r="F390" s="4" t="n">
        <v>24</v>
      </c>
      <c r="G390" s="4">
        <f>G389+E390-F390</f>
        <v/>
      </c>
    </row>
    <row r="391">
      <c r="A391" t="inlineStr">
        <is>
          <t>30/09/2024</t>
        </is>
      </c>
      <c r="B391" t="inlineStr">
        <is>
          <t>1200 - Bank</t>
        </is>
      </c>
      <c r="C391" t="inlineStr">
        <is>
          <t>Direct Debit Rejected Payment Fee</t>
        </is>
      </c>
      <c r="D391" t="inlineStr"/>
      <c r="E391" s="5" t="n"/>
      <c r="F391" s="5" t="n">
        <v>15</v>
      </c>
      <c r="G391" s="5">
        <f>G390+E391-F391</f>
        <v/>
      </c>
    </row>
    <row r="392">
      <c r="A392" s="3" t="inlineStr">
        <is>
          <t>02/10/2024</t>
        </is>
      </c>
      <c r="B392" s="3" t="inlineStr">
        <is>
          <t>1200 - Bank</t>
        </is>
      </c>
      <c r="C392" s="3" t="inlineStr">
        <is>
          <t>Gobstopper Belfast GB [C9VN5VRQ4R]</t>
        </is>
      </c>
      <c r="D392" s="3" t="inlineStr"/>
      <c r="E392" s="4" t="n"/>
      <c r="F392" s="4" t="n">
        <v>2.5</v>
      </c>
      <c r="G392" s="4">
        <f>G391+E392-F392</f>
        <v/>
      </c>
    </row>
    <row r="393">
      <c r="A393" t="inlineStr">
        <is>
          <t>04/10/2024</t>
        </is>
      </c>
      <c r="B393" t="inlineStr">
        <is>
          <t>1200 - Bank</t>
        </is>
      </c>
      <c r="C393" t="inlineStr">
        <is>
          <t>CSR NI LTD THE CSR GROUP</t>
        </is>
      </c>
      <c r="D393" t="inlineStr"/>
      <c r="E393" s="5" t="n">
        <v>268.2</v>
      </c>
      <c r="F393" s="5" t="n"/>
      <c r="G393" s="5">
        <f>G392+E393-F393</f>
        <v/>
      </c>
    </row>
    <row r="394">
      <c r="A394" s="3" t="inlineStr">
        <is>
          <t>04/10/2024</t>
        </is>
      </c>
      <c r="B394" s="3" t="inlineStr">
        <is>
          <t>1200 - Bank</t>
        </is>
      </c>
      <c r="C394" s="3" t="inlineStr">
        <is>
          <t>Heron Bros Ltd SP0012142</t>
        </is>
      </c>
      <c r="D394" s="3" t="inlineStr"/>
      <c r="E394" s="4" t="n">
        <v>1056</v>
      </c>
      <c r="F394" s="4" t="n"/>
      <c r="G394" s="4">
        <f>G393+E394-F394</f>
        <v/>
      </c>
    </row>
    <row r="395">
      <c r="A395" t="inlineStr">
        <is>
          <t>04/10/2024</t>
        </is>
      </c>
      <c r="B395" t="inlineStr">
        <is>
          <t>1200 - Bank</t>
        </is>
      </c>
      <c r="C395" t="inlineStr">
        <is>
          <t>gary leckey gary</t>
        </is>
      </c>
      <c r="D395" t="inlineStr"/>
      <c r="E395" s="5" t="n"/>
      <c r="F395" s="5" t="n">
        <v>150</v>
      </c>
      <c r="G395" s="5">
        <f>G394+E395-F395</f>
        <v/>
      </c>
    </row>
    <row r="396">
      <c r="A396" s="3" t="inlineStr">
        <is>
          <t>04/10/2024</t>
        </is>
      </c>
      <c r="B396" s="3" t="inlineStr">
        <is>
          <t>1200 - Bank</t>
        </is>
      </c>
      <c r="C396" s="3" t="inlineStr">
        <is>
          <t>tina brown tina</t>
        </is>
      </c>
      <c r="D396" s="3" t="inlineStr"/>
      <c r="E396" s="4" t="n"/>
      <c r="F396" s="4" t="n">
        <v>10</v>
      </c>
      <c r="G396" s="4">
        <f>G395+E396-F396</f>
        <v/>
      </c>
    </row>
    <row r="397">
      <c r="A397" t="inlineStr">
        <is>
          <t>04/10/2024</t>
        </is>
      </c>
      <c r="B397" t="inlineStr">
        <is>
          <t>1200 - Bank</t>
        </is>
      </c>
      <c r="C397" t="inlineStr">
        <is>
          <t>tina brown tina</t>
        </is>
      </c>
      <c r="D397" t="inlineStr"/>
      <c r="E397" s="5" t="n"/>
      <c r="F397" s="5" t="n">
        <v>15</v>
      </c>
      <c r="G397" s="5">
        <f>G396+E397-F397</f>
        <v/>
      </c>
    </row>
    <row r="398">
      <c r="A398" s="3" t="inlineStr">
        <is>
          <t>04/10/2024</t>
        </is>
      </c>
      <c r="B398" s="3" t="inlineStr">
        <is>
          <t>1200 - Bank</t>
        </is>
      </c>
      <c r="C398" s="3" t="inlineStr">
        <is>
          <t>tina brown tina</t>
        </is>
      </c>
      <c r="D398" s="3" t="inlineStr"/>
      <c r="E398" s="4" t="n"/>
      <c r="F398" s="4" t="n">
        <v>15</v>
      </c>
      <c r="G398" s="4">
        <f>G397+E398-F398</f>
        <v/>
      </c>
    </row>
    <row r="399">
      <c r="A399" t="inlineStr">
        <is>
          <t>04/10/2024</t>
        </is>
      </c>
      <c r="B399" t="inlineStr">
        <is>
          <t>1200 - Bank</t>
        </is>
      </c>
      <c r="C399" t="inlineStr">
        <is>
          <t>tina brown tina</t>
        </is>
      </c>
      <c r="D399" t="inlineStr"/>
      <c r="E399" s="5" t="n"/>
      <c r="F399" s="5" t="n">
        <v>200</v>
      </c>
      <c r="G399" s="5">
        <f>G398+E399-F399</f>
        <v/>
      </c>
    </row>
    <row r="400">
      <c r="A400" s="3" t="inlineStr">
        <is>
          <t>04/10/2024</t>
        </is>
      </c>
      <c r="B400" s="3" t="inlineStr">
        <is>
          <t>1200 - Bank</t>
        </is>
      </c>
      <c r="C400" s="3" t="inlineStr">
        <is>
          <t>tina brown tina</t>
        </is>
      </c>
      <c r="D400" s="3" t="inlineStr"/>
      <c r="E400" s="4" t="n"/>
      <c r="F400" s="4" t="n">
        <v>5</v>
      </c>
      <c r="G400" s="4">
        <f>G399+E400-F400</f>
        <v/>
      </c>
    </row>
    <row r="401">
      <c r="A401" t="inlineStr">
        <is>
          <t>04/10/2024</t>
        </is>
      </c>
      <c r="B401" t="inlineStr">
        <is>
          <t>1200 - Bank</t>
        </is>
      </c>
      <c r="C401" t="inlineStr">
        <is>
          <t>tina brown tina</t>
        </is>
      </c>
      <c r="D401" t="inlineStr"/>
      <c r="E401" s="5" t="n"/>
      <c r="F401" s="5" t="n">
        <v>500</v>
      </c>
      <c r="G401" s="5">
        <f>G400+E401-F401</f>
        <v/>
      </c>
    </row>
    <row r="402">
      <c r="A402" s="3" t="inlineStr">
        <is>
          <t>05/10/2024</t>
        </is>
      </c>
      <c r="B402" s="3" t="inlineStr">
        <is>
          <t>1200 - Bank</t>
        </is>
      </c>
      <c r="C402" s="3" t="inlineStr">
        <is>
          <t>Fin: SSE AIRTRICITY,MARTA B,WWW.AIRTRICI</t>
        </is>
      </c>
      <c r="D402" s="3" t="inlineStr"/>
      <c r="E402" s="4" t="n"/>
      <c r="F402" s="4" t="n">
        <v>50</v>
      </c>
      <c r="G402" s="4">
        <f>G401+E402-F402</f>
        <v/>
      </c>
    </row>
    <row r="403">
      <c r="A403" t="inlineStr">
        <is>
          <t>06/10/2024</t>
        </is>
      </c>
      <c r="B403" t="inlineStr">
        <is>
          <t>1200 - Bank</t>
        </is>
      </c>
      <c r="C403" t="inlineStr">
        <is>
          <t>Gary leckey Sumup</t>
        </is>
      </c>
      <c r="D403" t="inlineStr"/>
      <c r="E403" s="5" t="n"/>
      <c r="F403" s="5" t="n">
        <v>30</v>
      </c>
      <c r="G403" s="5">
        <f>G402+E403-F403</f>
        <v/>
      </c>
    </row>
    <row r="404">
      <c r="A404" s="3" t="inlineStr">
        <is>
          <t>06/10/2024</t>
        </is>
      </c>
      <c r="B404" s="3" t="inlineStr">
        <is>
          <t>1200 - Bank</t>
        </is>
      </c>
      <c r="C404" s="3" t="inlineStr">
        <is>
          <t>RA CONSULTING 10175600 [COQENK7RJP]</t>
        </is>
      </c>
      <c r="D404" s="3" t="inlineStr"/>
      <c r="E404" s="4" t="n">
        <v>30</v>
      </c>
      <c r="F404" s="4" t="n"/>
      <c r="G404" s="4">
        <f>G403+E404-F404</f>
        <v/>
      </c>
    </row>
    <row r="405">
      <c r="A405" t="inlineStr">
        <is>
          <t>07/10/2024</t>
        </is>
      </c>
      <c r="B405" t="inlineStr">
        <is>
          <t>1200 - Bank</t>
        </is>
      </c>
      <c r="C405" t="inlineStr">
        <is>
          <t>DD:FUEL CARD SERVICES L C0318041</t>
        </is>
      </c>
      <c r="D405" t="inlineStr"/>
      <c r="E405" s="5" t="n"/>
      <c r="F405" s="5" t="n">
        <v>178.36</v>
      </c>
      <c r="G405" s="5">
        <f>G404+E405-F405</f>
        <v/>
      </c>
    </row>
    <row r="406">
      <c r="A406" s="3" t="inlineStr">
        <is>
          <t>07/10/2024</t>
        </is>
      </c>
      <c r="B406" s="3" t="inlineStr">
        <is>
          <t>1200 - Bank</t>
        </is>
      </c>
      <c r="C406" s="3" t="inlineStr">
        <is>
          <t>Fin: 183 LESLEY FORESTSIDE ,BELFAST</t>
        </is>
      </c>
      <c r="D406" s="3" t="inlineStr"/>
      <c r="E406" s="4" t="n"/>
      <c r="F406" s="4" t="n">
        <v>25.95</v>
      </c>
      <c r="G406" s="4">
        <f>G405+E406-F406</f>
        <v/>
      </c>
    </row>
    <row r="407">
      <c r="A407" t="inlineStr">
        <is>
          <t>07/10/2024</t>
        </is>
      </c>
      <c r="B407" t="inlineStr">
        <is>
          <t>1200 - Bank</t>
        </is>
      </c>
      <c r="C407" t="inlineStr">
        <is>
          <t>Fin: DV8 Kennedy Centre ,Belfast</t>
        </is>
      </c>
      <c r="D407" t="inlineStr"/>
      <c r="E407" s="5" t="n"/>
      <c r="F407" s="5" t="n">
        <v>100</v>
      </c>
      <c r="G407" s="5">
        <f>G406+E407-F407</f>
        <v/>
      </c>
    </row>
    <row r="408">
      <c r="A408" s="3" t="inlineStr">
        <is>
          <t>07/10/2024</t>
        </is>
      </c>
      <c r="B408" s="3" t="inlineStr">
        <is>
          <t>1200 - Bank</t>
        </is>
      </c>
      <c r="C408" s="3" t="inlineStr">
        <is>
          <t>Fin: DV8 Kennedy Centre ,Belfast</t>
        </is>
      </c>
      <c r="D408" s="3" t="inlineStr"/>
      <c r="E408" s="4" t="n"/>
      <c r="F408" s="4" t="n">
        <v>60.22</v>
      </c>
      <c r="G408" s="4">
        <f>G407+E408-F408</f>
        <v/>
      </c>
    </row>
    <row r="409">
      <c r="A409" t="inlineStr">
        <is>
          <t>07/10/2024</t>
        </is>
      </c>
      <c r="B409" t="inlineStr">
        <is>
          <t>1200 - Bank</t>
        </is>
      </c>
      <c r="C409" t="inlineStr">
        <is>
          <t>Fin: E07047700000000,FALLS ROAD, ,BELFAS</t>
        </is>
      </c>
      <c r="D409" t="inlineStr"/>
      <c r="E409" s="5" t="n"/>
      <c r="F409" s="5" t="n">
        <v>50</v>
      </c>
      <c r="G409" s="5">
        <f>G408+E409-F409</f>
        <v/>
      </c>
    </row>
    <row r="410">
      <c r="A410" s="3" t="inlineStr">
        <is>
          <t>07/10/2024</t>
        </is>
      </c>
      <c r="B410" s="3" t="inlineStr">
        <is>
          <t>1200 - Bank</t>
        </is>
      </c>
      <c r="C410" s="3" t="inlineStr">
        <is>
          <t>Fin: LANDSCAPE FILLING STAT,135 C,BELFAS</t>
        </is>
      </c>
      <c r="D410" s="3" t="inlineStr"/>
      <c r="E410" s="4" t="n"/>
      <c r="F410" s="4" t="n">
        <v>20.17</v>
      </c>
      <c r="G410" s="4">
        <f>G409+E410-F410</f>
        <v/>
      </c>
    </row>
    <row r="411">
      <c r="A411" t="inlineStr">
        <is>
          <t>07/10/2024</t>
        </is>
      </c>
      <c r="B411" t="inlineStr">
        <is>
          <t>1200 - Bank</t>
        </is>
      </c>
      <c r="C411" t="inlineStr">
        <is>
          <t>Fin: SPAR TWIN SPIRES,UNIT 17-21 ,BELFAS</t>
        </is>
      </c>
      <c r="D411" t="inlineStr"/>
      <c r="E411" s="5" t="n"/>
      <c r="F411" s="5" t="n">
        <v>6.05</v>
      </c>
      <c r="G411" s="5">
        <f>G410+E411-F411</f>
        <v/>
      </c>
    </row>
    <row r="412">
      <c r="A412" s="3" t="inlineStr">
        <is>
          <t>07/10/2024</t>
        </is>
      </c>
      <c r="B412" s="3" t="inlineStr">
        <is>
          <t>1200 - Bank</t>
        </is>
      </c>
      <c r="C412" s="3" t="inlineStr">
        <is>
          <t>G LECKEY 1006862278 gary le</t>
        </is>
      </c>
      <c r="D412" s="3" t="inlineStr"/>
      <c r="E412" s="4" t="n">
        <v>220</v>
      </c>
      <c r="F412" s="4" t="n"/>
      <c r="G412" s="4">
        <f>G411+E412-F412</f>
        <v/>
      </c>
    </row>
    <row r="413">
      <c r="A413" t="inlineStr">
        <is>
          <t>08/10/2024</t>
        </is>
      </c>
      <c r="B413" t="inlineStr">
        <is>
          <t>1200 - Bank</t>
        </is>
      </c>
      <c r="C413" t="inlineStr">
        <is>
          <t>**** Cashback ****</t>
        </is>
      </c>
      <c r="D413" t="inlineStr"/>
      <c r="E413" s="5" t="n">
        <v>1.09</v>
      </c>
      <c r="F413" s="5" t="n"/>
      <c r="G413" s="5">
        <f>G412+E413-F413</f>
        <v/>
      </c>
    </row>
    <row r="414">
      <c r="A414" s="3" t="inlineStr">
        <is>
          <t>08/10/2024</t>
        </is>
      </c>
      <c r="B414" s="3" t="inlineStr">
        <is>
          <t>1200 - Bank</t>
        </is>
      </c>
      <c r="C414" s="3" t="inlineStr">
        <is>
          <t>BROWN T TINA</t>
        </is>
      </c>
      <c r="D414" s="3" t="inlineStr"/>
      <c r="E414" s="4" t="n">
        <v>140</v>
      </c>
      <c r="F414" s="4" t="n"/>
      <c r="G414" s="4">
        <f>G413+E414-F414</f>
        <v/>
      </c>
    </row>
    <row r="415">
      <c r="A415" t="inlineStr">
        <is>
          <t>08/10/2024</t>
        </is>
      </c>
      <c r="B415" t="inlineStr">
        <is>
          <t>1200 - Bank</t>
        </is>
      </c>
      <c r="C415" t="inlineStr">
        <is>
          <t>Fin: PPOINT_*Hugh's Confect,32 Cl,Belfas</t>
        </is>
      </c>
      <c r="D415" t="inlineStr"/>
      <c r="E415" s="5" t="n"/>
      <c r="F415" s="5" t="n">
        <v>0.75</v>
      </c>
      <c r="G415" s="5">
        <f>G414+E415-F415</f>
        <v/>
      </c>
    </row>
    <row r="416">
      <c r="A416" s="3" t="inlineStr">
        <is>
          <t>08/10/2024</t>
        </is>
      </c>
      <c r="B416" s="3" t="inlineStr">
        <is>
          <t>1200 - Bank</t>
        </is>
      </c>
      <c r="C416" s="3" t="inlineStr">
        <is>
          <t>Fin: SAINSBURY'S S/MKT,14A FOREST,BELFAS</t>
        </is>
      </c>
      <c r="D416" s="3" t="inlineStr"/>
      <c r="E416" s="4" t="n"/>
      <c r="F416" s="4" t="n">
        <v>13.8</v>
      </c>
      <c r="G416" s="4">
        <f>G415+E416-F416</f>
        <v/>
      </c>
    </row>
    <row r="417">
      <c r="A417" t="inlineStr">
        <is>
          <t>08/10/2024</t>
        </is>
      </c>
      <c r="B417" t="inlineStr">
        <is>
          <t>1200 - Bank</t>
        </is>
      </c>
      <c r="C417" t="inlineStr">
        <is>
          <t>Fin: SAINSBURYS SUPERMA,KENNEDY C,BELFAS</t>
        </is>
      </c>
      <c r="D417" t="inlineStr"/>
      <c r="E417" s="5" t="n"/>
      <c r="F417" s="5" t="n">
        <v>11.15</v>
      </c>
      <c r="G417" s="5">
        <f>G416+E417-F417</f>
        <v/>
      </c>
    </row>
    <row r="418">
      <c r="A418" s="3" t="inlineStr">
        <is>
          <t>08/10/2024</t>
        </is>
      </c>
      <c r="B418" s="3" t="inlineStr">
        <is>
          <t>1200 - Bank</t>
        </is>
      </c>
      <c r="C418" s="3" t="inlineStr">
        <is>
          <t>Fin: ULSTER BANK NORTH,SPAR CLIFT,BELFAS</t>
        </is>
      </c>
      <c r="D418" s="3" t="inlineStr"/>
      <c r="E418" s="4" t="n"/>
      <c r="F418" s="4" t="n">
        <v>40</v>
      </c>
      <c r="G418" s="4">
        <f>G417+E418-F418</f>
        <v/>
      </c>
    </row>
    <row r="419">
      <c r="A419" t="inlineStr">
        <is>
          <t>08/10/2024</t>
        </is>
      </c>
      <c r="B419" t="inlineStr">
        <is>
          <t>1200 - Bank</t>
        </is>
      </c>
      <c r="C419" t="inlineStr">
        <is>
          <t>LV MAC AUTOPARTS BELFABELFAST GB [C96Z6JJ4GG]</t>
        </is>
      </c>
      <c r="D419" t="inlineStr"/>
      <c r="E419" s="5" t="n"/>
      <c r="F419" s="5" t="n">
        <v>17</v>
      </c>
      <c r="G419" s="5">
        <f>G418+E419-F419</f>
        <v/>
      </c>
    </row>
    <row r="420">
      <c r="A420" s="3" t="inlineStr">
        <is>
          <t>09/10/2024</t>
        </is>
      </c>
      <c r="B420" s="3" t="inlineStr">
        <is>
          <t>1200 - Bank</t>
        </is>
      </c>
      <c r="C420" s="3" t="inlineStr">
        <is>
          <t>Fin: FRANKIE AND BENNYS,1-9,belFast boUC</t>
        </is>
      </c>
      <c r="D420" s="3" t="inlineStr"/>
      <c r="E420" s="4" t="n"/>
      <c r="F420" s="4" t="n">
        <v>35.55</v>
      </c>
      <c r="G420" s="4">
        <f>G419+E420-F420</f>
        <v/>
      </c>
    </row>
    <row r="421">
      <c r="A421" t="inlineStr">
        <is>
          <t>09/10/2024</t>
        </is>
      </c>
      <c r="B421" t="inlineStr">
        <is>
          <t>1200 - Bank</t>
        </is>
      </c>
      <c r="C421" t="inlineStr">
        <is>
          <t>Fin: MACE RVH,Busy Bee, Royal Vic,Belfas</t>
        </is>
      </c>
      <c r="D421" t="inlineStr"/>
      <c r="E421" s="5" t="n"/>
      <c r="F421" s="5" t="n">
        <v>7.35</v>
      </c>
      <c r="G421" s="5">
        <f>G420+E421-F421</f>
        <v/>
      </c>
    </row>
    <row r="422">
      <c r="A422" s="3" t="inlineStr">
        <is>
          <t>09/10/2024</t>
        </is>
      </c>
      <c r="B422" s="3" t="inlineStr">
        <is>
          <t>1200 - Bank</t>
        </is>
      </c>
      <c r="C422" s="3" t="inlineStr">
        <is>
          <t>Fin: PPOINT_*Hugh's Confect,32 Cl,Belfas</t>
        </is>
      </c>
      <c r="D422" s="3" t="inlineStr"/>
      <c r="E422" s="4" t="n"/>
      <c r="F422" s="4" t="n">
        <v>2.55</v>
      </c>
      <c r="G422" s="4">
        <f>G421+E422-F422</f>
        <v/>
      </c>
    </row>
    <row r="423">
      <c r="A423" t="inlineStr">
        <is>
          <t>09/10/2024</t>
        </is>
      </c>
      <c r="B423" t="inlineStr">
        <is>
          <t>1200 - Bank</t>
        </is>
      </c>
      <c r="C423" t="inlineStr">
        <is>
          <t>Fin: SCREWFIX DIR LTD,45-56,BELFASTBO159</t>
        </is>
      </c>
      <c r="D423" t="inlineStr"/>
      <c r="E423" s="5" t="n"/>
      <c r="F423" s="5" t="n">
        <v>85.12</v>
      </c>
      <c r="G423" s="5">
        <f>G422+E423-F423</f>
        <v/>
      </c>
    </row>
    <row r="424">
      <c r="A424" s="3" t="inlineStr">
        <is>
          <t>09/10/2024</t>
        </is>
      </c>
      <c r="B424" s="3" t="inlineStr">
        <is>
          <t>1200 - Bank</t>
        </is>
      </c>
      <c r="C424" s="3" t="inlineStr">
        <is>
          <t>R&amp;A consulting and brokerage services Se</t>
        </is>
      </c>
      <c r="D424" s="3" t="inlineStr"/>
      <c r="E424" s="4" t="n">
        <v>10</v>
      </c>
      <c r="F424" s="4" t="n"/>
      <c r="G424" s="4">
        <f>G423+E424-F424</f>
        <v/>
      </c>
    </row>
    <row r="425">
      <c r="A425" t="inlineStr">
        <is>
          <t>09/10/2024</t>
        </is>
      </c>
      <c r="B425" t="inlineStr">
        <is>
          <t>1200 - Bank</t>
        </is>
      </c>
      <c r="C425" t="inlineStr">
        <is>
          <t>tina brown tina</t>
        </is>
      </c>
      <c r="D425" t="inlineStr"/>
      <c r="E425" s="5" t="n"/>
      <c r="F425" s="5" t="n">
        <v>40</v>
      </c>
      <c r="G425" s="5">
        <f>G424+E425-F425</f>
        <v/>
      </c>
    </row>
    <row r="426">
      <c r="A426" s="3" t="inlineStr">
        <is>
          <t>09/10/2024</t>
        </is>
      </c>
      <c r="B426" s="3" t="inlineStr">
        <is>
          <t>1200 - Bank</t>
        </is>
      </c>
      <c r="C426" s="3" t="inlineStr">
        <is>
          <t>COFFEE DOC RVH BELFAST BT12 GB [C94RVR5ZBV]</t>
        </is>
      </c>
      <c r="D426" s="3" t="inlineStr"/>
      <c r="E426" s="4" t="n"/>
      <c r="F426" s="4" t="n">
        <v>1.55</v>
      </c>
      <c r="G426" s="4">
        <f>G425+E426-F426</f>
        <v/>
      </c>
    </row>
    <row r="427">
      <c r="A427" t="inlineStr">
        <is>
          <t>09/10/2024</t>
        </is>
      </c>
      <c r="B427" t="inlineStr">
        <is>
          <t>1200 - Bank</t>
        </is>
      </c>
      <c r="C427" t="inlineStr">
        <is>
          <t>R@A consulting and brokerage services 10175600 [CD3EBZMVVL]</t>
        </is>
      </c>
      <c r="D427" t="inlineStr"/>
      <c r="E427" s="5" t="n"/>
      <c r="F427" s="5" t="n">
        <v>10</v>
      </c>
      <c r="G427" s="5">
        <f>G426+E427-F427</f>
        <v/>
      </c>
    </row>
    <row r="428">
      <c r="A428" s="3" t="inlineStr">
        <is>
          <t>10/10/2024</t>
        </is>
      </c>
      <c r="B428" s="3" t="inlineStr">
        <is>
          <t>1200 - Bank</t>
        </is>
      </c>
      <c r="C428" s="3" t="inlineStr">
        <is>
          <t>Fin: BP EUROSPAR SHANKILL R,52-58,BELFAS</t>
        </is>
      </c>
      <c r="D428" s="3" t="inlineStr"/>
      <c r="E428" s="4" t="n"/>
      <c r="F428" s="4" t="n">
        <v>11.55</v>
      </c>
      <c r="G428" s="4">
        <f>G427+E428-F428</f>
        <v/>
      </c>
    </row>
    <row r="429">
      <c r="A429" t="inlineStr">
        <is>
          <t>10/10/2024</t>
        </is>
      </c>
      <c r="B429" t="inlineStr">
        <is>
          <t>1200 - Bank</t>
        </is>
      </c>
      <c r="C429" t="inlineStr">
        <is>
          <t>Fin: COCA COLA NI,12 LISSUE ROAD L,ANTRI</t>
        </is>
      </c>
      <c r="D429" t="inlineStr"/>
      <c r="E429" s="5" t="n"/>
      <c r="F429" s="5" t="n">
        <v>1.2</v>
      </c>
      <c r="G429" s="5">
        <f>G428+E429-F429</f>
        <v/>
      </c>
    </row>
    <row r="430">
      <c r="A430" s="3" t="inlineStr">
        <is>
          <t>10/10/2024</t>
        </is>
      </c>
      <c r="B430" s="3" t="inlineStr">
        <is>
          <t>1200 - Bank</t>
        </is>
      </c>
      <c r="C430" s="3" t="inlineStr">
        <is>
          <t>Fin: COFFEE DOC RVH ,BELFAST BT12</t>
        </is>
      </c>
      <c r="D430" s="3" t="inlineStr"/>
      <c r="E430" s="4" t="n"/>
      <c r="F430" s="4" t="n">
        <v>5.05</v>
      </c>
      <c r="G430" s="4">
        <f>G429+E430-F430</f>
        <v/>
      </c>
    </row>
    <row r="431">
      <c r="A431" t="inlineStr">
        <is>
          <t>10/10/2024</t>
        </is>
      </c>
      <c r="B431" t="inlineStr">
        <is>
          <t>1200 - Bank</t>
        </is>
      </c>
      <c r="C431" t="inlineStr">
        <is>
          <t>Fin: Vivo,534-538 Falls Road,Belfast,GBR</t>
        </is>
      </c>
      <c r="D431" t="inlineStr"/>
      <c r="E431" s="5" t="n"/>
      <c r="F431" s="5" t="n">
        <v>10.65</v>
      </c>
      <c r="G431" s="5">
        <f>G430+E431-F431</f>
        <v/>
      </c>
    </row>
    <row r="432">
      <c r="A432" s="3" t="inlineStr">
        <is>
          <t>10/10/2024</t>
        </is>
      </c>
      <c r="B432" s="3" t="inlineStr">
        <is>
          <t>1200 - Bank</t>
        </is>
      </c>
      <c r="C432" s="3" t="inlineStr">
        <is>
          <t>MACE RVH Belfast GB [C92MKGXQKL]</t>
        </is>
      </c>
      <c r="D432" s="3" t="inlineStr"/>
      <c r="E432" s="4" t="n"/>
      <c r="F432" s="4" t="n">
        <v>2.95</v>
      </c>
      <c r="G432" s="4">
        <f>G431+E432-F432</f>
        <v/>
      </c>
    </row>
    <row r="433">
      <c r="A433" t="inlineStr">
        <is>
          <t>11/10/2024</t>
        </is>
      </c>
      <c r="B433" t="inlineStr">
        <is>
          <t>1200 - Bank</t>
        </is>
      </c>
      <c r="C433" t="inlineStr">
        <is>
          <t>CSR NI LTD THE CSR GROUP</t>
        </is>
      </c>
      <c r="D433" t="inlineStr"/>
      <c r="E433" s="5" t="n">
        <v>551.3</v>
      </c>
      <c r="F433" s="5" t="n"/>
      <c r="G433" s="5">
        <f>G432+E433-F433</f>
        <v/>
      </c>
    </row>
    <row r="434">
      <c r="A434" s="3" t="inlineStr">
        <is>
          <t>12/10/2024</t>
        </is>
      </c>
      <c r="B434" s="3" t="inlineStr">
        <is>
          <t>1200 - Bank</t>
        </is>
      </c>
      <c r="C434" s="3" t="inlineStr">
        <is>
          <t>Fin: CENTRA MOUNTAINTOP,Cosgr,LETTERKENN 39.24 EUR XR 1.192343</t>
        </is>
      </c>
      <c r="D434" s="3" t="inlineStr"/>
      <c r="E434" s="4" t="n"/>
      <c r="F434" s="4" t="n">
        <v>32.91</v>
      </c>
      <c r="G434" s="4">
        <f>G433+E434-F434</f>
        <v/>
      </c>
    </row>
    <row r="435">
      <c r="A435" t="inlineStr">
        <is>
          <t>12/10/2024</t>
        </is>
      </c>
      <c r="B435" t="inlineStr">
        <is>
          <t>1200 - Bank</t>
        </is>
      </c>
      <c r="C435" t="inlineStr">
        <is>
          <t>Fin: Kellys Diner,Kellys Dine,Letterkenn 2.95 EUR XR 1.194332</t>
        </is>
      </c>
      <c r="D435" t="inlineStr"/>
      <c r="E435" s="5" t="n"/>
      <c r="F435" s="5" t="n">
        <v>2.47</v>
      </c>
      <c r="G435" s="5">
        <f>G434+E435-F435</f>
        <v/>
      </c>
    </row>
    <row r="436">
      <c r="A436" s="3" t="inlineStr">
        <is>
          <t>12/10/2024</t>
        </is>
      </c>
      <c r="B436" s="3" t="inlineStr">
        <is>
          <t>1200 - Bank</t>
        </is>
      </c>
      <c r="C436" s="3" t="inlineStr">
        <is>
          <t>Fin: Maire Ruas Bear &amp; Bial,Donegal 10 EUR XR 1.191895</t>
        </is>
      </c>
      <c r="D436" s="3" t="inlineStr"/>
      <c r="E436" s="4" t="n"/>
      <c r="F436" s="4" t="n">
        <v>8.390000000000001</v>
      </c>
      <c r="G436" s="4">
        <f>G435+E436-F436</f>
        <v/>
      </c>
    </row>
    <row r="437">
      <c r="A437" t="inlineStr">
        <is>
          <t>12/10/2024</t>
        </is>
      </c>
      <c r="B437" t="inlineStr">
        <is>
          <t>1200 - Bank</t>
        </is>
      </c>
      <c r="C437" t="inlineStr">
        <is>
          <t>Fin: Maire Ruas Bear &amp; Bial,Donegal 10 EUR XR 1.191895</t>
        </is>
      </c>
      <c r="D437" t="inlineStr"/>
      <c r="E437" s="5" t="n"/>
      <c r="F437" s="5" t="n">
        <v>8.390000000000001</v>
      </c>
      <c r="G437" s="5">
        <f>G436+E437-F437</f>
        <v/>
      </c>
    </row>
    <row r="438">
      <c r="A438" s="3" t="inlineStr">
        <is>
          <t>12/10/2024</t>
        </is>
      </c>
      <c r="B438" s="3" t="inlineStr">
        <is>
          <t>1200 - Bank</t>
        </is>
      </c>
      <c r="C438" s="3" t="inlineStr">
        <is>
          <t>Fin: Maire Ruas Bear &amp; Bial,Donegal 11 EUR XR 1.193059</t>
        </is>
      </c>
      <c r="D438" s="3" t="inlineStr"/>
      <c r="E438" s="4" t="n"/>
      <c r="F438" s="4" t="n">
        <v>9.220000000000001</v>
      </c>
      <c r="G438" s="4">
        <f>G437+E438-F438</f>
        <v/>
      </c>
    </row>
    <row r="439">
      <c r="A439" t="inlineStr">
        <is>
          <t>12/10/2024</t>
        </is>
      </c>
      <c r="B439" t="inlineStr">
        <is>
          <t>1200 - Bank</t>
        </is>
      </c>
      <c r="C439" t="inlineStr">
        <is>
          <t>Fin: Maire Ruas Bear &amp; Bial,Donegal 5.5 EUR XR 1.193059</t>
        </is>
      </c>
      <c r="D439" t="inlineStr"/>
      <c r="E439" s="5" t="n"/>
      <c r="F439" s="5" t="n">
        <v>4.61</v>
      </c>
      <c r="G439" s="5">
        <f>G438+E439-F439</f>
        <v/>
      </c>
    </row>
    <row r="440">
      <c r="A440" s="3" t="inlineStr">
        <is>
          <t>12/10/2024</t>
        </is>
      </c>
      <c r="B440" s="3" t="inlineStr">
        <is>
          <t>1200 - Bank</t>
        </is>
      </c>
      <c r="C440" s="3" t="inlineStr">
        <is>
          <t>Fin: Shamrock Lodge,Shamrock ,Letterkenn 19.2 EUR XR 1.192547</t>
        </is>
      </c>
      <c r="D440" s="3" t="inlineStr"/>
      <c r="E440" s="4" t="n"/>
      <c r="F440" s="4" t="n">
        <v>16.1</v>
      </c>
      <c r="G440" s="4">
        <f>G439+E440-F440</f>
        <v/>
      </c>
    </row>
    <row r="441">
      <c r="A441" t="inlineStr">
        <is>
          <t>12/10/2024</t>
        </is>
      </c>
      <c r="B441" t="inlineStr">
        <is>
          <t>1200 - Bank</t>
        </is>
      </c>
      <c r="C441" t="inlineStr">
        <is>
          <t>Fin: Shamrock Lodge,Shamrock ,Letterkenn 20.6 EUR XR 1.19213</t>
        </is>
      </c>
      <c r="D441" t="inlineStr"/>
      <c r="E441" s="5" t="n"/>
      <c r="F441" s="5" t="n">
        <v>17.28</v>
      </c>
      <c r="G441" s="5">
        <f>G440+E441-F441</f>
        <v/>
      </c>
    </row>
    <row r="442">
      <c r="A442" s="3" t="inlineStr">
        <is>
          <t>12/10/2024</t>
        </is>
      </c>
      <c r="B442" s="3" t="inlineStr">
        <is>
          <t>1200 - Bank</t>
        </is>
      </c>
      <c r="C442" s="3" t="inlineStr">
        <is>
          <t>Fin: Shamrock Lodge,Shamrock ,Letterkenn 22 EUR XR 1.192412</t>
        </is>
      </c>
      <c r="D442" s="3" t="inlineStr"/>
      <c r="E442" s="4" t="n"/>
      <c r="F442" s="4" t="n">
        <v>18.45</v>
      </c>
      <c r="G442" s="4">
        <f>G441+E442-F442</f>
        <v/>
      </c>
    </row>
    <row r="443">
      <c r="A443" t="inlineStr">
        <is>
          <t>12/10/2024</t>
        </is>
      </c>
      <c r="B443" t="inlineStr">
        <is>
          <t>1200 - Bank</t>
        </is>
      </c>
      <c r="C443" t="inlineStr">
        <is>
          <t>Fin: Shamrock Lodge,Shamrock ,Letterkenn 49.9 EUR XR 1.192354</t>
        </is>
      </c>
      <c r="D443" t="inlineStr"/>
      <c r="E443" s="5" t="n"/>
      <c r="F443" s="5" t="n">
        <v>41.85</v>
      </c>
      <c r="G443" s="5">
        <f>G442+E443-F443</f>
        <v/>
      </c>
    </row>
    <row r="444">
      <c r="A444" s="3" t="inlineStr">
        <is>
          <t>12/10/2024</t>
        </is>
      </c>
      <c r="B444" s="3" t="inlineStr">
        <is>
          <t>1200 - Bank</t>
        </is>
      </c>
      <c r="C444" s="3" t="inlineStr">
        <is>
          <t>Monthly subscription</t>
        </is>
      </c>
      <c r="D444" s="3" t="inlineStr"/>
      <c r="E444" s="4" t="n"/>
      <c r="F444" s="4" t="n">
        <v>9</v>
      </c>
      <c r="G444" s="4">
        <f>G443+E444-F444</f>
        <v/>
      </c>
    </row>
    <row r="445">
      <c r="A445" t="inlineStr">
        <is>
          <t>14/10/2024</t>
        </is>
      </c>
      <c r="B445" t="inlineStr">
        <is>
          <t>1200 - Bank</t>
        </is>
      </c>
      <c r="C445" t="inlineStr">
        <is>
          <t>DD:FUEL CARD SERVICES L C0318041</t>
        </is>
      </c>
      <c r="D445" t="inlineStr"/>
      <c r="E445" s="5" t="n"/>
      <c r="F445" s="5" t="n">
        <v>60</v>
      </c>
      <c r="G445" s="5">
        <f>G444+E445-F445</f>
        <v/>
      </c>
    </row>
    <row r="446">
      <c r="A446" s="3" t="inlineStr">
        <is>
          <t>14/10/2024</t>
        </is>
      </c>
      <c r="B446" s="3" t="inlineStr">
        <is>
          <t>1200 - Bank</t>
        </is>
      </c>
      <c r="C446" s="3" t="inlineStr">
        <is>
          <t>Fin: BP EUROSPAR SHANKILL R,52-58,BELFAS</t>
        </is>
      </c>
      <c r="D446" s="3" t="inlineStr"/>
      <c r="E446" s="4" t="n"/>
      <c r="F446" s="4" t="n">
        <v>7.62</v>
      </c>
      <c r="G446" s="4">
        <f>G445+E446-F446</f>
        <v/>
      </c>
    </row>
    <row r="447">
      <c r="A447" t="inlineStr">
        <is>
          <t>14/10/2024</t>
        </is>
      </c>
      <c r="B447" t="inlineStr">
        <is>
          <t>1200 - Bank</t>
        </is>
      </c>
      <c r="C447" t="inlineStr">
        <is>
          <t>Fin: CENTRA,MAIN STREET,DUNFANAGH,IRL 16.4 EUR XR 1.192727</t>
        </is>
      </c>
      <c r="D447" t="inlineStr"/>
      <c r="E447" s="5" t="n"/>
      <c r="F447" s="5" t="n">
        <v>13.75</v>
      </c>
      <c r="G447" s="5">
        <f>G446+E447-F447</f>
        <v/>
      </c>
    </row>
    <row r="448">
      <c r="A448" s="3" t="inlineStr">
        <is>
          <t>14/10/2024</t>
        </is>
      </c>
      <c r="B448" s="3" t="inlineStr">
        <is>
          <t>1200 - Bank</t>
        </is>
      </c>
      <c r="C448" s="3" t="inlineStr">
        <is>
          <t>Fin: OSTAN LOCH ALTAN,GORTAHORK,GORTAHOR 11.5 EUR XR 1.192946</t>
        </is>
      </c>
      <c r="D448" s="3" t="inlineStr"/>
      <c r="E448" s="4" t="n"/>
      <c r="F448" s="4" t="n">
        <v>9.640000000000001</v>
      </c>
      <c r="G448" s="4">
        <f>G447+E448-F448</f>
        <v/>
      </c>
    </row>
    <row r="449">
      <c r="A449" t="inlineStr">
        <is>
          <t>14/10/2024</t>
        </is>
      </c>
      <c r="B449" t="inlineStr">
        <is>
          <t>1200 - Bank</t>
        </is>
      </c>
      <c r="C449" t="inlineStr">
        <is>
          <t>Fin: OSTAN LOCH ALTAN,GORTAHORK,GORTAHOR 140 EUR XR 1.1922</t>
        </is>
      </c>
      <c r="D449" t="inlineStr"/>
      <c r="E449" s="5" t="n"/>
      <c r="F449" s="5" t="n">
        <v>117.43</v>
      </c>
      <c r="G449" s="5">
        <f>G448+E449-F449</f>
        <v/>
      </c>
    </row>
    <row r="450">
      <c r="A450" s="3" t="inlineStr">
        <is>
          <t>14/10/2024</t>
        </is>
      </c>
      <c r="B450" s="3" t="inlineStr">
        <is>
          <t>1200 - Bank</t>
        </is>
      </c>
      <c r="C450" s="3" t="inlineStr">
        <is>
          <t>Fin: STRAND ROAD BAR,THE LOFT ,Falcarrag 49.5 EUR XR 1.192197</t>
        </is>
      </c>
      <c r="D450" s="3" t="inlineStr"/>
      <c r="E450" s="4" t="n"/>
      <c r="F450" s="4" t="n">
        <v>41.52</v>
      </c>
      <c r="G450" s="4">
        <f>G449+E450-F450</f>
        <v/>
      </c>
    </row>
    <row r="451">
      <c r="A451" t="inlineStr">
        <is>
          <t>14/10/2024</t>
        </is>
      </c>
      <c r="B451" t="inlineStr">
        <is>
          <t>1200 - Bank</t>
        </is>
      </c>
      <c r="C451" t="inlineStr">
        <is>
          <t>G LECKEY 1006862278 gary le</t>
        </is>
      </c>
      <c r="D451" t="inlineStr"/>
      <c r="E451" s="5" t="n">
        <v>59</v>
      </c>
      <c r="F451" s="5" t="n"/>
      <c r="G451" s="5">
        <f>G450+E451-F451</f>
        <v/>
      </c>
    </row>
    <row r="452">
      <c r="A452" s="3" t="inlineStr">
        <is>
          <t>15/10/2024</t>
        </is>
      </c>
      <c r="B452" s="3" t="inlineStr">
        <is>
          <t>1200 - Bank</t>
        </is>
      </c>
      <c r="C452" s="3" t="inlineStr">
        <is>
          <t>Fin: BOI MAINST,FALCARRAGH9,DONEGAL 200 EUR XR 1.192179</t>
        </is>
      </c>
      <c r="D452" s="3" t="inlineStr"/>
      <c r="E452" s="4" t="n"/>
      <c r="F452" s="4" t="n">
        <v>167.76</v>
      </c>
      <c r="G452" s="4">
        <f>G451+E452-F452</f>
        <v/>
      </c>
    </row>
    <row r="453">
      <c r="A453" t="inlineStr">
        <is>
          <t>15/10/2024</t>
        </is>
      </c>
      <c r="B453" t="inlineStr">
        <is>
          <t>1200 - Bank</t>
        </is>
      </c>
      <c r="C453" t="inlineStr">
        <is>
          <t>Fin: CO-OP GROUP 140006,523,Old Park Roa</t>
        </is>
      </c>
      <c r="D453" t="inlineStr"/>
      <c r="E453" s="5" t="n"/>
      <c r="F453" s="5" t="n">
        <v>9</v>
      </c>
      <c r="G453" s="5">
        <f>G452+E453-F453</f>
        <v/>
      </c>
    </row>
    <row r="454">
      <c r="A454" s="3" t="inlineStr">
        <is>
          <t>15/10/2024</t>
        </is>
      </c>
      <c r="B454" s="3" t="inlineStr">
        <is>
          <t>1200 - Bank</t>
        </is>
      </c>
      <c r="C454" s="3" t="inlineStr">
        <is>
          <t>Fin: MCDONALDS 1674,BALLYGOMARTIN,BELFAS</t>
        </is>
      </c>
      <c r="D454" s="3" t="inlineStr"/>
      <c r="E454" s="4" t="n"/>
      <c r="F454" s="4" t="n">
        <v>5.4</v>
      </c>
      <c r="G454" s="4">
        <f>G453+E454-F454</f>
        <v/>
      </c>
    </row>
    <row r="455">
      <c r="A455" t="inlineStr">
        <is>
          <t>15/10/2024</t>
        </is>
      </c>
      <c r="B455" t="inlineStr">
        <is>
          <t>1200 - Bank</t>
        </is>
      </c>
      <c r="C455" t="inlineStr">
        <is>
          <t>Fin: MURPHY'S STORE,107 ALLIANCE ,BELFAS</t>
        </is>
      </c>
      <c r="D455" t="inlineStr"/>
      <c r="E455" s="5" t="n"/>
      <c r="F455" s="5" t="n">
        <v>2.05</v>
      </c>
      <c r="G455" s="5">
        <f>G454+E455-F455</f>
        <v/>
      </c>
    </row>
    <row r="456">
      <c r="A456" s="3" t="inlineStr">
        <is>
          <t>15/10/2024</t>
        </is>
      </c>
      <c r="B456" s="3" t="inlineStr">
        <is>
          <t>1200 - Bank</t>
        </is>
      </c>
      <c r="C456" s="3" t="inlineStr">
        <is>
          <t>Fin: SPAR TWIN SPIRES,UNIT 17-21 ,BELFAS</t>
        </is>
      </c>
      <c r="D456" s="3" t="inlineStr"/>
      <c r="E456" s="4" t="n"/>
      <c r="F456" s="4" t="n">
        <v>5.47</v>
      </c>
      <c r="G456" s="4">
        <f>G455+E456-F456</f>
        <v/>
      </c>
    </row>
    <row r="457">
      <c r="A457" t="inlineStr">
        <is>
          <t>15/10/2024</t>
        </is>
      </c>
      <c r="B457" t="inlineStr">
        <is>
          <t>1200 - Bank</t>
        </is>
      </c>
      <c r="C457" t="inlineStr">
        <is>
          <t>Fin: That Prize Guy Ltd,Enterprise,Bango</t>
        </is>
      </c>
      <c r="D457" t="inlineStr"/>
      <c r="E457" s="5" t="n"/>
      <c r="F457" s="5" t="n">
        <v>0.85</v>
      </c>
      <c r="G457" s="5">
        <f>G456+E457-F457</f>
        <v/>
      </c>
    </row>
    <row r="458">
      <c r="A458" s="3" t="inlineStr">
        <is>
          <t>16/10/2024</t>
        </is>
      </c>
      <c r="B458" s="3" t="inlineStr">
        <is>
          <t>1200 - Bank</t>
        </is>
      </c>
      <c r="C458" s="3" t="inlineStr">
        <is>
          <t>Fin: COCA COLA NI,12 LISSUE ROAD L,ANTRI</t>
        </is>
      </c>
      <c r="D458" s="3" t="inlineStr"/>
      <c r="E458" s="4" t="n"/>
      <c r="F458" s="4" t="n">
        <v>1.2</v>
      </c>
      <c r="G458" s="4">
        <f>G457+E458-F458</f>
        <v/>
      </c>
    </row>
    <row r="459">
      <c r="A459" t="inlineStr">
        <is>
          <t>18/10/2024</t>
        </is>
      </c>
      <c r="B459" t="inlineStr">
        <is>
          <t>1200 - Bank</t>
        </is>
      </c>
      <c r="C459" t="inlineStr">
        <is>
          <t>CSR NI LTD THE CSR GROUP</t>
        </is>
      </c>
      <c r="D459" t="inlineStr"/>
      <c r="E459" s="5" t="n">
        <v>510</v>
      </c>
      <c r="F459" s="5" t="n"/>
      <c r="G459" s="5">
        <f>G458+E459-F459</f>
        <v/>
      </c>
    </row>
    <row r="460">
      <c r="A460" s="3" t="inlineStr">
        <is>
          <t>19/10/2024</t>
        </is>
      </c>
      <c r="B460" s="3" t="inlineStr">
        <is>
          <t>1200 - Bank</t>
        </is>
      </c>
      <c r="C460" s="3" t="inlineStr">
        <is>
          <t>Fin: Chill,311 Cavehill Road,Belfast,GBR</t>
        </is>
      </c>
      <c r="D460" s="3" t="inlineStr"/>
      <c r="E460" s="4" t="n"/>
      <c r="F460" s="4" t="n">
        <v>7</v>
      </c>
      <c r="G460" s="4">
        <f>G459+E460-F460</f>
        <v/>
      </c>
    </row>
    <row r="461">
      <c r="A461" t="inlineStr">
        <is>
          <t>19/10/2024</t>
        </is>
      </c>
      <c r="B461" t="inlineStr">
        <is>
          <t>1200 - Bank</t>
        </is>
      </c>
      <c r="C461" t="inlineStr">
        <is>
          <t>Fin: MCDONALDS,KENNEDY WAY,BELFAST,GBR</t>
        </is>
      </c>
      <c r="D461" t="inlineStr"/>
      <c r="E461" s="5" t="n"/>
      <c r="F461" s="5" t="n">
        <v>3.38</v>
      </c>
      <c r="G461" s="5">
        <f>G460+E461-F461</f>
        <v/>
      </c>
    </row>
    <row r="462">
      <c r="A462" s="3" t="inlineStr">
        <is>
          <t>19/10/2024</t>
        </is>
      </c>
      <c r="B462" s="3" t="inlineStr">
        <is>
          <t>1200 - Bank</t>
        </is>
      </c>
      <c r="C462" s="3" t="inlineStr">
        <is>
          <t>Fin: TESCO STORES 5522,2 BALLYGOM,BELFAS</t>
        </is>
      </c>
      <c r="D462" s="3" t="inlineStr"/>
      <c r="E462" s="4" t="n"/>
      <c r="F462" s="4" t="n">
        <v>65.55</v>
      </c>
      <c r="G462" s="4">
        <f>G461+E462-F462</f>
        <v/>
      </c>
    </row>
    <row r="463">
      <c r="A463" t="inlineStr">
        <is>
          <t>19/10/2024</t>
        </is>
      </c>
      <c r="B463" t="inlineStr">
        <is>
          <t>1200 - Bank</t>
        </is>
      </c>
      <c r="C463" t="inlineStr">
        <is>
          <t>Fin: gaxlec.wixsite.com/des,1 Qua,Belfas</t>
        </is>
      </c>
      <c r="D463" t="inlineStr"/>
      <c r="E463" s="5" t="n"/>
      <c r="F463" s="5" t="n">
        <v>100</v>
      </c>
      <c r="G463" s="5">
        <f>G462+E463-F463</f>
        <v/>
      </c>
    </row>
    <row r="464">
      <c r="A464" s="3" t="inlineStr">
        <is>
          <t>21/10/2024</t>
        </is>
      </c>
      <c r="B464" s="3" t="inlineStr">
        <is>
          <t>1200 - Bank</t>
        </is>
      </c>
      <c r="C464" s="3" t="inlineStr">
        <is>
          <t>DD:FUEL CARD SERVICES L C0318041</t>
        </is>
      </c>
      <c r="D464" s="3" t="inlineStr"/>
      <c r="E464" s="4" t="n"/>
      <c r="F464" s="4" t="n">
        <v>144</v>
      </c>
      <c r="G464" s="4">
        <f>G463+E464-F464</f>
        <v/>
      </c>
    </row>
    <row r="465">
      <c r="A465" t="inlineStr">
        <is>
          <t>21/10/2024</t>
        </is>
      </c>
      <c r="B465" t="inlineStr">
        <is>
          <t>1200 - Bank</t>
        </is>
      </c>
      <c r="C465" t="inlineStr">
        <is>
          <t>Fin: CO-OP GROUP 140006,523,Old Park Roa</t>
        </is>
      </c>
      <c r="D465" t="inlineStr"/>
      <c r="E465" s="5" t="n"/>
      <c r="F465" s="5" t="n">
        <v>28.15</v>
      </c>
      <c r="G465" s="5">
        <f>G464+E465-F465</f>
        <v/>
      </c>
    </row>
    <row r="466">
      <c r="A466" s="3" t="inlineStr">
        <is>
          <t>21/10/2024</t>
        </is>
      </c>
      <c r="B466" s="3" t="inlineStr">
        <is>
          <t>1200 - Bank</t>
        </is>
      </c>
      <c r="C466" s="3" t="inlineStr">
        <is>
          <t>Fin: CO-OP GROUP 140006,523,Old Park Roa</t>
        </is>
      </c>
      <c r="D466" s="3" t="inlineStr"/>
      <c r="E466" s="4" t="n"/>
      <c r="F466" s="4" t="n">
        <v>4.25</v>
      </c>
      <c r="G466" s="4">
        <f>G465+E466-F466</f>
        <v/>
      </c>
    </row>
    <row r="467">
      <c r="A467" t="inlineStr">
        <is>
          <t>21/10/2024</t>
        </is>
      </c>
      <c r="B467" t="inlineStr">
        <is>
          <t>1200 - Bank</t>
        </is>
      </c>
      <c r="C467" t="inlineStr">
        <is>
          <t>Fin: FRUITERAMA,13 SPRINGFIELD RO,BELFAS</t>
        </is>
      </c>
      <c r="D467" t="inlineStr"/>
      <c r="E467" s="5" t="n"/>
      <c r="F467" s="5" t="n">
        <v>5.96</v>
      </c>
      <c r="G467" s="5">
        <f>G466+E467-F467</f>
        <v/>
      </c>
    </row>
    <row r="468">
      <c r="A468" s="3" t="inlineStr">
        <is>
          <t>21/10/2024</t>
        </is>
      </c>
      <c r="B468" s="3" t="inlineStr">
        <is>
          <t>1200 - Bank</t>
        </is>
      </c>
      <c r="C468" s="3" t="inlineStr">
        <is>
          <t>Fin: GREGGS PLC,KENNEDY CENTRE,BELFAST,G</t>
        </is>
      </c>
      <c r="D468" s="3" t="inlineStr"/>
      <c r="E468" s="4" t="n"/>
      <c r="F468" s="4" t="n">
        <v>4</v>
      </c>
      <c r="G468" s="4">
        <f>G467+E468-F468</f>
        <v/>
      </c>
    </row>
    <row r="469">
      <c r="A469" t="inlineStr">
        <is>
          <t>21/10/2024</t>
        </is>
      </c>
      <c r="B469" t="inlineStr">
        <is>
          <t>1200 - Bank</t>
        </is>
      </c>
      <c r="C469" t="inlineStr">
        <is>
          <t>Fin: MCDONALDS,BALLYMENA ROAD,ANTRIM,GBR</t>
        </is>
      </c>
      <c r="D469" t="inlineStr"/>
      <c r="E469" s="5" t="n"/>
      <c r="F469" s="5" t="n">
        <v>12.49</v>
      </c>
      <c r="G469" s="5">
        <f>G468+E469-F469</f>
        <v/>
      </c>
    </row>
    <row r="470">
      <c r="A470" s="3" t="inlineStr">
        <is>
          <t>21/10/2024</t>
        </is>
      </c>
      <c r="B470" s="3" t="inlineStr">
        <is>
          <t>1200 - Bank</t>
        </is>
      </c>
      <c r="C470" s="3" t="inlineStr">
        <is>
          <t>Fin: MUSGRAVE MARKET PLACE,1-15 D,BELFAS</t>
        </is>
      </c>
      <c r="D470" s="3" t="inlineStr"/>
      <c r="E470" s="4" t="n"/>
      <c r="F470" s="4" t="n">
        <v>82.12</v>
      </c>
      <c r="G470" s="4">
        <f>G469+E470-F470</f>
        <v/>
      </c>
    </row>
    <row r="471">
      <c r="A471" t="inlineStr">
        <is>
          <t>21/10/2024</t>
        </is>
      </c>
      <c r="B471" t="inlineStr">
        <is>
          <t>1200 - Bank</t>
        </is>
      </c>
      <c r="C471" t="inlineStr">
        <is>
          <t>Fin: McPeakes,Falls Road,Belfast,GBR</t>
        </is>
      </c>
      <c r="D471" t="inlineStr"/>
      <c r="E471" s="5" t="n"/>
      <c r="F471" s="5" t="n">
        <v>19.99</v>
      </c>
      <c r="G471" s="5">
        <f>G470+E471-F471</f>
        <v/>
      </c>
    </row>
    <row r="472">
      <c r="A472" s="3" t="inlineStr">
        <is>
          <t>21/10/2024</t>
        </is>
      </c>
      <c r="B472" s="3" t="inlineStr">
        <is>
          <t>1200 - Bank</t>
        </is>
      </c>
      <c r="C472" s="3" t="inlineStr">
        <is>
          <t>Fin: McPeakes,Falls Road,Belfast,GBR</t>
        </is>
      </c>
      <c r="D472" s="3" t="inlineStr"/>
      <c r="E472" s="4" t="n"/>
      <c r="F472" s="4" t="n">
        <v>24</v>
      </c>
      <c r="G472" s="4">
        <f>G471+E472-F472</f>
        <v/>
      </c>
    </row>
    <row r="473">
      <c r="A473" t="inlineStr">
        <is>
          <t>21/10/2024</t>
        </is>
      </c>
      <c r="B473" t="inlineStr">
        <is>
          <t>1200 - Bank</t>
        </is>
      </c>
      <c r="C473" t="inlineStr">
        <is>
          <t>Fin: PPOINT_*Hugh's Confect,32 Cl,Belfas</t>
        </is>
      </c>
      <c r="D473" t="inlineStr"/>
      <c r="E473" s="5" t="n"/>
      <c r="F473" s="5" t="n">
        <v>3.38</v>
      </c>
      <c r="G473" s="5">
        <f>G472+E473-F473</f>
        <v/>
      </c>
    </row>
    <row r="474">
      <c r="A474" s="3" t="inlineStr">
        <is>
          <t>21/10/2024</t>
        </is>
      </c>
      <c r="B474" s="3" t="inlineStr">
        <is>
          <t>1200 - Bank</t>
        </is>
      </c>
      <c r="C474" s="3" t="inlineStr">
        <is>
          <t>Fin: SAINSBURYS S/MKTS,FALLS,WEST BELFAS</t>
        </is>
      </c>
      <c r="D474" s="3" t="inlineStr"/>
      <c r="E474" s="4" t="n"/>
      <c r="F474" s="4" t="n">
        <v>6.75</v>
      </c>
      <c r="G474" s="4">
        <f>G473+E474-F474</f>
        <v/>
      </c>
    </row>
    <row r="475">
      <c r="A475" t="inlineStr">
        <is>
          <t>21/10/2024</t>
        </is>
      </c>
      <c r="B475" t="inlineStr">
        <is>
          <t>1200 - Bank</t>
        </is>
      </c>
      <c r="C475" t="inlineStr">
        <is>
          <t>Fin: SAVEWAY1,129 SPRINGFIELD ROA,BELFAS</t>
        </is>
      </c>
      <c r="D475" t="inlineStr"/>
      <c r="E475" s="5" t="n"/>
      <c r="F475" s="5" t="n">
        <v>8.609999999999999</v>
      </c>
      <c r="G475" s="5">
        <f>G474+E475-F475</f>
        <v/>
      </c>
    </row>
    <row r="476">
      <c r="A476" s="3" t="inlineStr">
        <is>
          <t>21/10/2024</t>
        </is>
      </c>
      <c r="B476" s="3" t="inlineStr">
        <is>
          <t>1200 - Bank</t>
        </is>
      </c>
      <c r="C476" s="3" t="inlineStr">
        <is>
          <t>G LECKEY 1006862278 gary le</t>
        </is>
      </c>
      <c r="D476" s="3" t="inlineStr"/>
      <c r="E476" s="4" t="n">
        <v>100</v>
      </c>
      <c r="F476" s="4" t="n"/>
      <c r="G476" s="4">
        <f>G475+E476-F476</f>
        <v/>
      </c>
    </row>
    <row r="477">
      <c r="A477" t="inlineStr">
        <is>
          <t>21/10/2024</t>
        </is>
      </c>
      <c r="B477" t="inlineStr">
        <is>
          <t>1200 - Bank</t>
        </is>
      </c>
      <c r="C477" t="inlineStr">
        <is>
          <t>G LECKEY 1006862278 gary le</t>
        </is>
      </c>
      <c r="D477" t="inlineStr"/>
      <c r="E477" s="5" t="n">
        <v>35</v>
      </c>
      <c r="F477" s="5" t="n"/>
      <c r="G477" s="5">
        <f>G476+E477-F477</f>
        <v/>
      </c>
    </row>
    <row r="478">
      <c r="A478" s="3" t="inlineStr">
        <is>
          <t>22/10/2024</t>
        </is>
      </c>
      <c r="B478" s="3" t="inlineStr">
        <is>
          <t>1200 - Bank</t>
        </is>
      </c>
      <c r="C478" s="3" t="inlineStr">
        <is>
          <t>Fin: E01506400000000,COOPERATIVE ,BELFAS</t>
        </is>
      </c>
      <c r="D478" s="3" t="inlineStr"/>
      <c r="E478" s="4" t="n"/>
      <c r="F478" s="4" t="n">
        <v>20</v>
      </c>
      <c r="G478" s="4">
        <f>G477+E478-F478</f>
        <v/>
      </c>
    </row>
    <row r="479">
      <c r="A479" t="inlineStr">
        <is>
          <t>22/10/2024</t>
        </is>
      </c>
      <c r="B479" t="inlineStr">
        <is>
          <t>1200 - Bank</t>
        </is>
      </c>
      <c r="C479" t="inlineStr">
        <is>
          <t>Fin: MACE RVH,Busy Bee, Royal Vic,Belfas</t>
        </is>
      </c>
      <c r="D479" t="inlineStr"/>
      <c r="E479" s="5" t="n"/>
      <c r="F479" s="5" t="n">
        <v>4.2</v>
      </c>
      <c r="G479" s="5">
        <f>G478+E479-F479</f>
        <v/>
      </c>
    </row>
    <row r="480">
      <c r="A480" s="3" t="inlineStr">
        <is>
          <t>22/10/2024</t>
        </is>
      </c>
      <c r="B480" s="3" t="inlineStr">
        <is>
          <t>1200 - Bank</t>
        </is>
      </c>
      <c r="C480" s="3" t="inlineStr">
        <is>
          <t>Fin: SPAR LIGONIEL,1 WEAVERSHILL ,BELFAS</t>
        </is>
      </c>
      <c r="D480" s="3" t="inlineStr"/>
      <c r="E480" s="4" t="n"/>
      <c r="F480" s="4" t="n">
        <v>0.99</v>
      </c>
      <c r="G480" s="4">
        <f>G479+E480-F480</f>
        <v/>
      </c>
    </row>
    <row r="481">
      <c r="A481" t="inlineStr">
        <is>
          <t>22/10/2024</t>
        </is>
      </c>
      <c r="B481" t="inlineStr">
        <is>
          <t>1200 - Bank</t>
        </is>
      </c>
      <c r="C481" t="inlineStr">
        <is>
          <t>Fin: SPAR LIGONIEL,1 WEAVERSHILL ,BELFAS</t>
        </is>
      </c>
      <c r="D481" t="inlineStr"/>
      <c r="E481" s="5" t="n"/>
      <c r="F481" s="5" t="n">
        <v>11.1</v>
      </c>
      <c r="G481" s="5">
        <f>G480+E481-F481</f>
        <v/>
      </c>
    </row>
    <row r="482">
      <c r="A482" s="3" t="inlineStr">
        <is>
          <t>22/10/2024</t>
        </is>
      </c>
      <c r="B482" s="3" t="inlineStr">
        <is>
          <t>1200 - Bank</t>
        </is>
      </c>
      <c r="C482" s="3" t="inlineStr">
        <is>
          <t>Fin: SPAR TWIN SPIRES,UNIT 17-21 ,BELFAS</t>
        </is>
      </c>
      <c r="D482" s="3" t="inlineStr"/>
      <c r="E482" s="4" t="n"/>
      <c r="F482" s="4" t="n">
        <v>7.24</v>
      </c>
      <c r="G482" s="4">
        <f>G481+E482-F482</f>
        <v/>
      </c>
    </row>
    <row r="483">
      <c r="A483" t="inlineStr">
        <is>
          <t>22/10/2024</t>
        </is>
      </c>
      <c r="B483" t="inlineStr">
        <is>
          <t>1200 - Bank</t>
        </is>
      </c>
      <c r="C483" t="inlineStr">
        <is>
          <t>Fin: SQ *LITTLE ITALY,13 Amelia S,Belfas</t>
        </is>
      </c>
      <c r="D483" t="inlineStr"/>
      <c r="E483" s="5" t="n"/>
      <c r="F483" s="5" t="n">
        <v>8.75</v>
      </c>
      <c r="G483" s="5">
        <f>G482+E483-F483</f>
        <v/>
      </c>
    </row>
    <row r="484">
      <c r="A484" s="3" t="inlineStr">
        <is>
          <t>22/10/2024</t>
        </is>
      </c>
      <c r="B484" s="3" t="inlineStr">
        <is>
          <t>1200 - Bank</t>
        </is>
      </c>
      <c r="C484" s="3" t="inlineStr">
        <is>
          <t>Fin: ULSTER BANK NORTH,SPAR LIGON,BELFAS</t>
        </is>
      </c>
      <c r="D484" s="3" t="inlineStr"/>
      <c r="E484" s="4" t="n"/>
      <c r="F484" s="4" t="n">
        <v>50</v>
      </c>
      <c r="G484" s="4">
        <f>G483+E484-F484</f>
        <v/>
      </c>
    </row>
    <row r="485">
      <c r="A485" t="inlineStr">
        <is>
          <t>22/10/2024</t>
        </is>
      </c>
      <c r="B485" t="inlineStr">
        <is>
          <t>1200 - Bank</t>
        </is>
      </c>
      <c r="C485" t="inlineStr">
        <is>
          <t>gary leckey gary</t>
        </is>
      </c>
      <c r="D485" t="inlineStr"/>
      <c r="E485" s="5" t="n"/>
      <c r="F485" s="5" t="n">
        <v>10</v>
      </c>
      <c r="G485" s="5">
        <f>G484+E485-F485</f>
        <v/>
      </c>
    </row>
    <row r="486">
      <c r="A486" s="3" t="inlineStr">
        <is>
          <t>23/10/2024</t>
        </is>
      </c>
      <c r="B486" s="3" t="inlineStr">
        <is>
          <t>1200 - Bank</t>
        </is>
      </c>
      <c r="C486" s="3" t="inlineStr">
        <is>
          <t>AMC CONSTRUCTION (NI) LTD AMC-1</t>
        </is>
      </c>
      <c r="D486" s="3" t="inlineStr"/>
      <c r="E486" s="4" t="n">
        <v>3960</v>
      </c>
      <c r="F486" s="4" t="n"/>
      <c r="G486" s="4">
        <f>G485+E486-F486</f>
        <v/>
      </c>
    </row>
    <row r="487">
      <c r="A487" t="inlineStr">
        <is>
          <t>23/10/2024</t>
        </is>
      </c>
      <c r="B487" t="inlineStr">
        <is>
          <t>1200 - Bank</t>
        </is>
      </c>
      <c r="C487" t="inlineStr">
        <is>
          <t>Fin: MACE OMEATH ,O MEATH 11.45 EUR XR 1.198953</t>
        </is>
      </c>
      <c r="D487" t="inlineStr"/>
      <c r="E487" s="5" t="n"/>
      <c r="F487" s="5" t="n">
        <v>9.550000000000001</v>
      </c>
      <c r="G487" s="5">
        <f>G486+E487-F487</f>
        <v/>
      </c>
    </row>
    <row r="488">
      <c r="A488" s="3" t="inlineStr">
        <is>
          <t>23/10/2024</t>
        </is>
      </c>
      <c r="B488" s="3" t="inlineStr">
        <is>
          <t>1200 - Bank</t>
        </is>
      </c>
      <c r="C488" s="3" t="inlineStr">
        <is>
          <t>Gary leckey Sumup</t>
        </is>
      </c>
      <c r="D488" s="3" t="inlineStr"/>
      <c r="E488" s="4" t="n"/>
      <c r="F488" s="4" t="n">
        <v>10</v>
      </c>
      <c r="G488" s="4">
        <f>G487+E488-F488</f>
        <v/>
      </c>
    </row>
    <row r="489">
      <c r="A489" t="inlineStr">
        <is>
          <t>23/10/2024</t>
        </is>
      </c>
      <c r="B489" t="inlineStr">
        <is>
          <t>1200 - Bank</t>
        </is>
      </c>
      <c r="C489" t="inlineStr">
        <is>
          <t>gary leckey danske gary</t>
        </is>
      </c>
      <c r="D489" t="inlineStr"/>
      <c r="E489" s="5" t="n"/>
      <c r="F489" s="5" t="n">
        <v>2505</v>
      </c>
      <c r="G489" s="5">
        <f>G488+E489-F489</f>
        <v/>
      </c>
    </row>
    <row r="490">
      <c r="A490" s="3" t="inlineStr">
        <is>
          <t>23/10/2024</t>
        </is>
      </c>
      <c r="B490" s="3" t="inlineStr">
        <is>
          <t>1200 - Bank</t>
        </is>
      </c>
      <c r="C490" s="3" t="inlineStr">
        <is>
          <t>gary leckey gary</t>
        </is>
      </c>
      <c r="D490" s="3" t="inlineStr"/>
      <c r="E490" s="4" t="n"/>
      <c r="F490" s="4" t="n">
        <v>50</v>
      </c>
      <c r="G490" s="4">
        <f>G489+E490-F490</f>
        <v/>
      </c>
    </row>
    <row r="491">
      <c r="A491" t="inlineStr">
        <is>
          <t>23/10/2024</t>
        </is>
      </c>
      <c r="B491" t="inlineStr">
        <is>
          <t>1200 - Bank</t>
        </is>
      </c>
      <c r="C491" t="inlineStr">
        <is>
          <t>RA CONSULTING 10175600 [COGYLXNZJ3]</t>
        </is>
      </c>
      <c r="D491" t="inlineStr"/>
      <c r="E491" s="5" t="n">
        <v>10</v>
      </c>
      <c r="F491" s="5" t="n"/>
      <c r="G491" s="5">
        <f>G490+E491-F491</f>
        <v/>
      </c>
    </row>
    <row r="492">
      <c r="A492" s="3" t="inlineStr">
        <is>
          <t>24/10/2024</t>
        </is>
      </c>
      <c r="B492" s="3" t="inlineStr">
        <is>
          <t>1200 - Bank</t>
        </is>
      </c>
      <c r="C492" s="3" t="inlineStr">
        <is>
          <t>gary leckey gary danske</t>
        </is>
      </c>
      <c r="D492" s="3" t="inlineStr"/>
      <c r="E492" s="4" t="n"/>
      <c r="F492" s="4" t="n">
        <v>370</v>
      </c>
      <c r="G492" s="4">
        <f>G491+E492-F492</f>
        <v/>
      </c>
    </row>
    <row r="493">
      <c r="A493" t="inlineStr">
        <is>
          <t>24/10/2024</t>
        </is>
      </c>
      <c r="B493" t="inlineStr">
        <is>
          <t>1200 - Bank</t>
        </is>
      </c>
      <c r="C493" t="inlineStr">
        <is>
          <t>giffgaff London GB [CD6YJQ3VG7]</t>
        </is>
      </c>
      <c r="D493" t="inlineStr"/>
      <c r="E493" s="5" t="n"/>
      <c r="F493" s="5" t="n">
        <v>6</v>
      </c>
      <c r="G493" s="5">
        <f>G492+E493-F493</f>
        <v/>
      </c>
    </row>
    <row r="494">
      <c r="A494" s="3" t="inlineStr">
        <is>
          <t>25/10/2024</t>
        </is>
      </c>
      <c r="B494" s="3" t="inlineStr">
        <is>
          <t>1200 - Bank</t>
        </is>
      </c>
      <c r="C494" s="3" t="inlineStr">
        <is>
          <t>CSR NI LTD THE CSR GROUP</t>
        </is>
      </c>
      <c r="D494" s="3" t="inlineStr"/>
      <c r="E494" s="4" t="n">
        <v>510</v>
      </c>
      <c r="F494" s="4" t="n"/>
      <c r="G494" s="4">
        <f>G493+E494-F494</f>
        <v/>
      </c>
    </row>
    <row r="495">
      <c r="A495" t="inlineStr">
        <is>
          <t>25/10/2024</t>
        </is>
      </c>
      <c r="B495" t="inlineStr">
        <is>
          <t>1200 - Bank</t>
        </is>
      </c>
      <c r="C495" t="inlineStr">
        <is>
          <t>Fin: E07047700000000,FALLS ROAD, ,BELFAS</t>
        </is>
      </c>
      <c r="D495" t="inlineStr"/>
      <c r="E495" s="5" t="n"/>
      <c r="F495" s="5" t="n">
        <v>500</v>
      </c>
      <c r="G495" s="5">
        <f>G494+E495-F495</f>
        <v/>
      </c>
    </row>
    <row r="496">
      <c r="A496" s="3" t="inlineStr">
        <is>
          <t>25/10/2024</t>
        </is>
      </c>
      <c r="B496" s="3" t="inlineStr">
        <is>
          <t>1200 - Bank</t>
        </is>
      </c>
      <c r="C496" s="3" t="inlineStr">
        <is>
          <t>Fin: E07047700000000,FALLS ROAD, ,BELFAS</t>
        </is>
      </c>
      <c r="D496" s="3" t="inlineStr"/>
      <c r="E496" s="4" t="n"/>
      <c r="F496" s="4" t="n">
        <v>500</v>
      </c>
      <c r="G496" s="4">
        <f>G495+E496-F496</f>
        <v/>
      </c>
    </row>
    <row r="497">
      <c r="A497" t="inlineStr">
        <is>
          <t>25/10/2024</t>
        </is>
      </c>
      <c r="B497" t="inlineStr">
        <is>
          <t>1200 - Bank</t>
        </is>
      </c>
      <c r="C497" t="inlineStr">
        <is>
          <t>Fin: GO COFFEE BANBRIDGE,CASCUM,BANBRIDG</t>
        </is>
      </c>
      <c r="D497" t="inlineStr"/>
      <c r="E497" s="5" t="n"/>
      <c r="F497" s="5" t="n">
        <v>10.15</v>
      </c>
      <c r="G497" s="5">
        <f>G496+E497-F497</f>
        <v/>
      </c>
    </row>
    <row r="498">
      <c r="A498" s="3" t="inlineStr">
        <is>
          <t>25/10/2024</t>
        </is>
      </c>
      <c r="B498" s="3" t="inlineStr">
        <is>
          <t>1200 - Bank</t>
        </is>
      </c>
      <c r="C498" s="3" t="inlineStr">
        <is>
          <t>Fin: MACE OMEATH ,O MEATH 10.04 EUR XR 1.199522</t>
        </is>
      </c>
      <c r="D498" s="3" t="inlineStr"/>
      <c r="E498" s="4" t="n"/>
      <c r="F498" s="4" t="n">
        <v>8.369999999999999</v>
      </c>
      <c r="G498" s="4">
        <f>G497+E498-F498</f>
        <v/>
      </c>
    </row>
    <row r="499">
      <c r="A499" t="inlineStr">
        <is>
          <t>25/10/2024</t>
        </is>
      </c>
      <c r="B499" t="inlineStr">
        <is>
          <t>1200 - Bank</t>
        </is>
      </c>
      <c r="C499" t="inlineStr">
        <is>
          <t>Fin: MACE OMEATH ,O MEATH 7.4 EUR XR 1.197411</t>
        </is>
      </c>
      <c r="D499" t="inlineStr"/>
      <c r="E499" s="5" t="n"/>
      <c r="F499" s="5" t="n">
        <v>6.18</v>
      </c>
      <c r="G499" s="5">
        <f>G498+E499-F499</f>
        <v/>
      </c>
    </row>
    <row r="500">
      <c r="A500" s="3" t="inlineStr">
        <is>
          <t>25/10/2024</t>
        </is>
      </c>
      <c r="B500" s="3" t="inlineStr">
        <is>
          <t>1200 - Bank</t>
        </is>
      </c>
      <c r="C500" s="3" t="inlineStr">
        <is>
          <t>tina brown tina</t>
        </is>
      </c>
      <c r="D500" s="3" t="inlineStr"/>
      <c r="E500" s="4" t="n"/>
      <c r="F500" s="4" t="n">
        <v>500</v>
      </c>
      <c r="G500" s="4">
        <f>G499+E500-F500</f>
        <v/>
      </c>
    </row>
    <row r="501">
      <c r="A501" t="inlineStr">
        <is>
          <t>28/10/2024</t>
        </is>
      </c>
      <c r="B501" t="inlineStr">
        <is>
          <t>1200 - Bank</t>
        </is>
      </c>
      <c r="C501" t="inlineStr">
        <is>
          <t>DD:FUEL CARD SERVICES L C0318041</t>
        </is>
      </c>
      <c r="D501" t="inlineStr"/>
      <c r="E501" s="5" t="n"/>
      <c r="F501" s="5" t="n">
        <v>111.29</v>
      </c>
      <c r="G501" s="5">
        <f>G500+E501-F501</f>
        <v/>
      </c>
    </row>
    <row r="502">
      <c r="A502" s="3" t="inlineStr">
        <is>
          <t>28/10/2024</t>
        </is>
      </c>
      <c r="B502" s="3" t="inlineStr">
        <is>
          <t>1200 - Bank</t>
        </is>
      </c>
      <c r="C502" s="3" t="inlineStr">
        <is>
          <t>G LECKEY 1006862278 gary le</t>
        </is>
      </c>
      <c r="D502" s="3" t="inlineStr"/>
      <c r="E502" s="4" t="n">
        <v>120</v>
      </c>
      <c r="F502" s="4" t="n"/>
      <c r="G502" s="4">
        <f>G501+E502-F502</f>
        <v/>
      </c>
    </row>
    <row r="503">
      <c r="A503" t="inlineStr">
        <is>
          <t>28/10/2024</t>
        </is>
      </c>
      <c r="B503" t="inlineStr">
        <is>
          <t>1200 - Bank</t>
        </is>
      </c>
      <c r="C503" t="inlineStr">
        <is>
          <t>G LECKEY 1006862278 gary le</t>
        </is>
      </c>
      <c r="D503" t="inlineStr"/>
      <c r="E503" s="5" t="n">
        <v>64</v>
      </c>
      <c r="F503" s="5" t="n"/>
      <c r="G503" s="5">
        <f>G502+E503-F503</f>
        <v/>
      </c>
    </row>
    <row r="504">
      <c r="A504" s="3" t="inlineStr">
        <is>
          <t>29/10/2024</t>
        </is>
      </c>
      <c r="B504" s="3" t="inlineStr">
        <is>
          <t>1200 - Bank</t>
        </is>
      </c>
      <c r="C504" s="3" t="inlineStr">
        <is>
          <t>Fin: KERNANS EUROSPAR &amp; DIN,DONEGAL 16.51 EUR XR 1.197244</t>
        </is>
      </c>
      <c r="D504" s="3" t="inlineStr"/>
      <c r="E504" s="4" t="n"/>
      <c r="F504" s="4" t="n">
        <v>13.79</v>
      </c>
      <c r="G504" s="4">
        <f>G503+E504-F504</f>
        <v/>
      </c>
    </row>
    <row r="505">
      <c r="A505" t="inlineStr">
        <is>
          <t>29/10/2024</t>
        </is>
      </c>
      <c r="B505" t="inlineStr">
        <is>
          <t>1200 - Bank</t>
        </is>
      </c>
      <c r="C505" t="inlineStr">
        <is>
          <t>Fin: NYA*EZE Gaming Limited,T,Aberystwyt</t>
        </is>
      </c>
      <c r="D505" t="inlineStr"/>
      <c r="E505" s="5" t="n"/>
      <c r="F505" s="5" t="n">
        <v>2</v>
      </c>
      <c r="G505" s="5">
        <f>G504+E505-F505</f>
        <v/>
      </c>
    </row>
    <row r="506">
      <c r="A506" s="3" t="inlineStr">
        <is>
          <t>30/10/2024</t>
        </is>
      </c>
      <c r="B506" s="3" t="inlineStr">
        <is>
          <t>1200 - Bank</t>
        </is>
      </c>
      <c r="C506" s="3" t="inlineStr">
        <is>
          <t>Fin: CASTLE COURT,Royal Avenue,Belfast,G</t>
        </is>
      </c>
      <c r="D506" s="3" t="inlineStr"/>
      <c r="E506" s="4" t="n"/>
      <c r="F506" s="4" t="n">
        <v>2.2</v>
      </c>
      <c r="G506" s="4">
        <f>G505+E506-F506</f>
        <v/>
      </c>
    </row>
    <row r="507">
      <c r="A507" t="inlineStr">
        <is>
          <t>30/10/2024</t>
        </is>
      </c>
      <c r="B507" t="inlineStr">
        <is>
          <t>1200 - Bank</t>
        </is>
      </c>
      <c r="C507" t="inlineStr">
        <is>
          <t>Fin: CO-OP GROUP 140006,523,Old Park Roa</t>
        </is>
      </c>
      <c r="D507" t="inlineStr"/>
      <c r="E507" s="5" t="n"/>
      <c r="F507" s="5" t="n">
        <v>16.15</v>
      </c>
      <c r="G507" s="5">
        <f>G506+E507-F507</f>
        <v/>
      </c>
    </row>
    <row r="508">
      <c r="A508" s="3" t="inlineStr">
        <is>
          <t>30/10/2024</t>
        </is>
      </c>
      <c r="B508" s="3" t="inlineStr">
        <is>
          <t>1200 - Bank</t>
        </is>
      </c>
      <c r="C508" s="3" t="inlineStr">
        <is>
          <t>Fin: KFC BOUCHER ROAD,35 BOUCHER ,BELFAS</t>
        </is>
      </c>
      <c r="D508" s="3" t="inlineStr"/>
      <c r="E508" s="4" t="n"/>
      <c r="F508" s="4" t="n">
        <v>9.99</v>
      </c>
      <c r="G508" s="4">
        <f>G507+E508-F508</f>
        <v/>
      </c>
    </row>
    <row r="509">
      <c r="A509" t="inlineStr">
        <is>
          <t>30/10/2024</t>
        </is>
      </c>
      <c r="B509" t="inlineStr">
        <is>
          <t>1200 - Bank</t>
        </is>
      </c>
      <c r="C509" t="inlineStr">
        <is>
          <t>Fin: SCREWFIX DIRECT,UNIT 2 ,BELFAST 173</t>
        </is>
      </c>
      <c r="D509" t="inlineStr"/>
      <c r="E509" s="5" t="n"/>
      <c r="F509" s="5" t="n">
        <v>24.99</v>
      </c>
      <c r="G509" s="5">
        <f>G508+E509-F509</f>
        <v/>
      </c>
    </row>
    <row r="510">
      <c r="A510" s="3" t="inlineStr">
        <is>
          <t>30/10/2024</t>
        </is>
      </c>
      <c r="B510" s="3" t="inlineStr">
        <is>
          <t>1200 - Bank</t>
        </is>
      </c>
      <c r="C510" s="3" t="inlineStr">
        <is>
          <t>Fin: STARBUCKS DT HILLVIEW ,BELFAST</t>
        </is>
      </c>
      <c r="D510" s="3" t="inlineStr"/>
      <c r="E510" s="4" t="n"/>
      <c r="F510" s="4" t="n">
        <v>6.9</v>
      </c>
      <c r="G510" s="4">
        <f>G509+E510-F510</f>
        <v/>
      </c>
    </row>
    <row r="511">
      <c r="A511" t="inlineStr">
        <is>
          <t>31/10/2024</t>
        </is>
      </c>
      <c r="B511" t="inlineStr">
        <is>
          <t>1200 - Bank</t>
        </is>
      </c>
      <c r="C511" t="inlineStr">
        <is>
          <t>AA Euro Recruitmen PURCHASE PAYMENT</t>
        </is>
      </c>
      <c r="D511" t="inlineStr"/>
      <c r="E511" s="5" t="n">
        <v>530</v>
      </c>
      <c r="F511" s="5" t="n"/>
      <c r="G511" s="5">
        <f>G510+E511-F511</f>
        <v/>
      </c>
    </row>
    <row r="512">
      <c r="A512" s="3" t="inlineStr">
        <is>
          <t>31/10/2024</t>
        </is>
      </c>
      <c r="B512" s="3" t="inlineStr">
        <is>
          <t>1200 - Bank</t>
        </is>
      </c>
      <c r="C512" s="3" t="inlineStr">
        <is>
          <t>Brendan dillon Sub</t>
        </is>
      </c>
      <c r="D512" s="3" t="inlineStr"/>
      <c r="E512" s="4" t="n"/>
      <c r="F512" s="4" t="n">
        <v>180</v>
      </c>
      <c r="G512" s="4">
        <f>G511+E512-F512</f>
        <v/>
      </c>
    </row>
    <row r="513">
      <c r="A513" t="inlineStr">
        <is>
          <t>31/10/2024</t>
        </is>
      </c>
      <c r="B513" t="inlineStr">
        <is>
          <t>1200 - Bank</t>
        </is>
      </c>
      <c r="C513" t="inlineStr">
        <is>
          <t>Fin: THE CORNER SHOP,47 DUBLIN ROA,ANTRI</t>
        </is>
      </c>
      <c r="D513" t="inlineStr"/>
      <c r="E513" s="5" t="n"/>
      <c r="F513" s="5" t="n">
        <v>10</v>
      </c>
      <c r="G513" s="5">
        <f>G512+E513-F513</f>
        <v/>
      </c>
    </row>
    <row r="514">
      <c r="A514" s="3" t="inlineStr">
        <is>
          <t>04/11/2024</t>
        </is>
      </c>
      <c r="B514" s="3" t="inlineStr">
        <is>
          <t>1200 - Bank</t>
        </is>
      </c>
      <c r="C514" s="3" t="inlineStr">
        <is>
          <t>AMC CONSTRUCTION (NI) LTD INV 2</t>
        </is>
      </c>
      <c r="D514" s="3" t="inlineStr"/>
      <c r="E514" s="4" t="n">
        <v>2346</v>
      </c>
      <c r="F514" s="4" t="n"/>
      <c r="G514" s="4">
        <f>G513+E514-F514</f>
        <v/>
      </c>
    </row>
    <row r="515">
      <c r="A515" t="inlineStr">
        <is>
          <t>04/11/2024</t>
        </is>
      </c>
      <c r="B515" t="inlineStr">
        <is>
          <t>1200 - Bank</t>
        </is>
      </c>
      <c r="C515" t="inlineStr">
        <is>
          <t>DD:FUEL CARD SERVICES L C0318041</t>
        </is>
      </c>
      <c r="D515" t="inlineStr"/>
      <c r="E515" s="5" t="n"/>
      <c r="F515" s="5" t="n">
        <v>194.3</v>
      </c>
      <c r="G515" s="5">
        <f>G514+E515-F515</f>
        <v/>
      </c>
    </row>
    <row r="516">
      <c r="A516" s="3" t="inlineStr">
        <is>
          <t>05/11/2024</t>
        </is>
      </c>
      <c r="B516" s="3" t="inlineStr">
        <is>
          <t>1200 - Bank</t>
        </is>
      </c>
      <c r="C516" s="3" t="inlineStr">
        <is>
          <t>gary leckey gary</t>
        </is>
      </c>
      <c r="D516" s="3" t="inlineStr"/>
      <c r="E516" s="4" t="n"/>
      <c r="F516" s="4" t="n">
        <v>2500</v>
      </c>
      <c r="G516" s="4">
        <f>G515+E516-F516</f>
        <v/>
      </c>
    </row>
    <row r="517">
      <c r="A517" t="inlineStr">
        <is>
          <t>06/11/2024</t>
        </is>
      </c>
      <c r="B517" t="inlineStr">
        <is>
          <t>1200 - Bank</t>
        </is>
      </c>
      <c r="C517" t="inlineStr">
        <is>
          <t>**** Cashback ****</t>
        </is>
      </c>
      <c r="D517" t="inlineStr"/>
      <c r="E517" s="5" t="n">
        <v>7.33</v>
      </c>
      <c r="F517" s="5" t="n"/>
      <c r="G517" s="5">
        <f>G516+E517-F517</f>
        <v/>
      </c>
    </row>
    <row r="518">
      <c r="A518" s="3" t="inlineStr">
        <is>
          <t>06/11/2024</t>
        </is>
      </c>
      <c r="B518" s="3" t="inlineStr">
        <is>
          <t>1200 - Bank</t>
        </is>
      </c>
      <c r="C518" s="3" t="inlineStr">
        <is>
          <t>Fin: 325 CAVEHILL ROAD,BELFAST</t>
        </is>
      </c>
      <c r="D518" s="3" t="inlineStr"/>
      <c r="E518" s="4" t="n">
        <v>265</v>
      </c>
      <c r="F518" s="4" t="n"/>
      <c r="G518" s="4">
        <f>G517+E518-F518</f>
        <v/>
      </c>
    </row>
    <row r="519">
      <c r="A519" t="inlineStr">
        <is>
          <t>07/11/2024</t>
        </is>
      </c>
      <c r="B519" t="inlineStr">
        <is>
          <t>1200 - Bank</t>
        </is>
      </c>
      <c r="C519" t="inlineStr">
        <is>
          <t>AA Euro Recruitmen PURCHASE PAYMENT</t>
        </is>
      </c>
      <c r="D519" t="inlineStr"/>
      <c r="E519" s="5" t="n">
        <v>132.5</v>
      </c>
      <c r="F519" s="5" t="n"/>
      <c r="G519" s="5">
        <f>G518+E519-F519</f>
        <v/>
      </c>
    </row>
    <row r="520">
      <c r="A520" s="3" t="inlineStr">
        <is>
          <t>07/11/2024</t>
        </is>
      </c>
      <c r="B520" s="3" t="inlineStr">
        <is>
          <t>1200 - Bank</t>
        </is>
      </c>
      <c r="C520" s="3" t="inlineStr">
        <is>
          <t>NORTHLINK M1 LTD A92CK72 IE [CDBB7Z57L7]</t>
        </is>
      </c>
      <c r="D520" s="3" t="inlineStr"/>
      <c r="E520" s="4" t="n"/>
      <c r="F520" s="4" t="n">
        <v>1.93</v>
      </c>
      <c r="G520" s="4">
        <f>G519+E520-F520</f>
        <v/>
      </c>
    </row>
    <row r="521">
      <c r="A521" t="inlineStr">
        <is>
          <t>08/11/2024</t>
        </is>
      </c>
      <c r="B521" t="inlineStr">
        <is>
          <t>1200 - Bank</t>
        </is>
      </c>
      <c r="C521" t="inlineStr">
        <is>
          <t>CSR NI LTD THE CSR GROUP</t>
        </is>
      </c>
      <c r="D521" t="inlineStr"/>
      <c r="E521" s="5" t="n">
        <v>105</v>
      </c>
      <c r="F521" s="5" t="n"/>
      <c r="G521" s="5">
        <f>G520+E521-F521</f>
        <v/>
      </c>
    </row>
    <row r="522">
      <c r="A522" s="3" t="inlineStr">
        <is>
          <t>08/11/2024</t>
        </is>
      </c>
      <c r="B522" s="3" t="inlineStr">
        <is>
          <t>1200 - Bank</t>
        </is>
      </c>
      <c r="C522" s="3" t="inlineStr">
        <is>
          <t>CSR NI LTD THE CSR GROUP</t>
        </is>
      </c>
      <c r="D522" s="3" t="inlineStr"/>
      <c r="E522" s="4" t="n">
        <v>217</v>
      </c>
      <c r="F522" s="4" t="n"/>
      <c r="G522" s="4">
        <f>G521+E522-F522</f>
        <v/>
      </c>
    </row>
    <row r="523">
      <c r="A523" t="inlineStr">
        <is>
          <t>08/11/2024</t>
        </is>
      </c>
      <c r="B523" t="inlineStr">
        <is>
          <t>1200 - Bank</t>
        </is>
      </c>
      <c r="C523" t="inlineStr">
        <is>
          <t>Fee for cash loads over 0/month</t>
        </is>
      </c>
      <c r="D523" t="inlineStr"/>
      <c r="E523" s="5" t="n"/>
      <c r="F523" s="5" t="n">
        <v>3</v>
      </c>
      <c r="G523" s="5">
        <f>G522+E523-F523</f>
        <v/>
      </c>
    </row>
    <row r="524">
      <c r="A524" s="3" t="inlineStr">
        <is>
          <t>08/11/2024</t>
        </is>
      </c>
      <c r="B524" s="3" t="inlineStr">
        <is>
          <t>1200 - Bank</t>
        </is>
      </c>
      <c r="C524" s="3" t="inlineStr">
        <is>
          <t>Fin: APPLEGREEN M1 LISBURN,APPLEG,LISBUR</t>
        </is>
      </c>
      <c r="D524" s="3" t="inlineStr"/>
      <c r="E524" s="4" t="n"/>
      <c r="F524" s="4" t="n">
        <v>5.04</v>
      </c>
      <c r="G524" s="4">
        <f>G523+E524-F524</f>
        <v/>
      </c>
    </row>
    <row r="525">
      <c r="A525" t="inlineStr">
        <is>
          <t>08/11/2024</t>
        </is>
      </c>
      <c r="B525" t="inlineStr">
        <is>
          <t>1200 - Bank</t>
        </is>
      </c>
      <c r="C525" t="inlineStr">
        <is>
          <t>Fin: SCREWFIX DIRECT,UNIT 2 ,BELFAST 173</t>
        </is>
      </c>
      <c r="D525" t="inlineStr"/>
      <c r="E525" s="5" t="n"/>
      <c r="F525" s="5" t="n">
        <v>48.95</v>
      </c>
      <c r="G525" s="5">
        <f>G524+E525-F525</f>
        <v/>
      </c>
    </row>
    <row r="526">
      <c r="A526" s="3" t="inlineStr">
        <is>
          <t>08/11/2024</t>
        </is>
      </c>
      <c r="B526" s="3" t="inlineStr">
        <is>
          <t>1200 - Bank</t>
        </is>
      </c>
      <c r="C526" s="3" t="inlineStr">
        <is>
          <t>Fin: STARBUCKS CARDIFF LANE,DUBLIN 2 14.35 EUR XR 1.198830</t>
        </is>
      </c>
      <c r="D526" s="3" t="inlineStr"/>
      <c r="E526" s="4" t="n"/>
      <c r="F526" s="4" t="n">
        <v>11.97</v>
      </c>
      <c r="G526" s="4">
        <f>G525+E526-F526</f>
        <v/>
      </c>
    </row>
    <row r="527">
      <c r="A527" t="inlineStr">
        <is>
          <t>08/11/2024</t>
        </is>
      </c>
      <c r="B527" t="inlineStr">
        <is>
          <t>1200 - Bank</t>
        </is>
      </c>
      <c r="C527" t="inlineStr">
        <is>
          <t>Fin: THE ART OF COFFEE,Sir John R,D02DT1 11.15 EUR XR 1.198925</t>
        </is>
      </c>
      <c r="D527" t="inlineStr"/>
      <c r="E527" s="5" t="n"/>
      <c r="F527" s="5" t="n">
        <v>9.300000000000001</v>
      </c>
      <c r="G527" s="5">
        <f>G526+E527-F527</f>
        <v/>
      </c>
    </row>
    <row r="528">
      <c r="A528" s="3" t="inlineStr">
        <is>
          <t>08/11/2024</t>
        </is>
      </c>
      <c r="B528" s="3" t="inlineStr">
        <is>
          <t>1200 - Bank</t>
        </is>
      </c>
      <c r="C528" s="3" t="inlineStr">
        <is>
          <t>Fin: THE ART OF COFFEE,Sir John R,D02DT1 12 EUR XR 1.198801</t>
        </is>
      </c>
      <c r="D528" s="3" t="inlineStr"/>
      <c r="E528" s="4" t="n"/>
      <c r="F528" s="4" t="n">
        <v>10.01</v>
      </c>
      <c r="G528" s="4">
        <f>G527+E528-F528</f>
        <v/>
      </c>
    </row>
    <row r="529">
      <c r="A529" t="inlineStr">
        <is>
          <t>09/11/2024</t>
        </is>
      </c>
      <c r="B529" t="inlineStr">
        <is>
          <t>1200 - Bank</t>
        </is>
      </c>
      <c r="C529" t="inlineStr">
        <is>
          <t>Fin: BESTCARPARK,Pembroke S,D02DD35 35 EUR XR 1.200274</t>
        </is>
      </c>
      <c r="D529" t="inlineStr"/>
      <c r="E529" s="5" t="n"/>
      <c r="F529" s="5" t="n">
        <v>29.16</v>
      </c>
      <c r="G529" s="5">
        <f>G528+E529-F529</f>
        <v/>
      </c>
    </row>
    <row r="530">
      <c r="A530" s="3" t="inlineStr">
        <is>
          <t>09/11/2024</t>
        </is>
      </c>
      <c r="B530" s="3" t="inlineStr">
        <is>
          <t>1200 - Bank</t>
        </is>
      </c>
      <c r="C530" s="3" t="inlineStr">
        <is>
          <t>Fin: DUBLIN PORT TUNNEL,DUBLIN POR,DUBLI 3.50 EUR XR 1.198630</t>
        </is>
      </c>
      <c r="D530" s="3" t="inlineStr"/>
      <c r="E530" s="4" t="n"/>
      <c r="F530" s="4" t="n">
        <v>2.92</v>
      </c>
      <c r="G530" s="4">
        <f>G529+E530-F530</f>
        <v/>
      </c>
    </row>
    <row r="531">
      <c r="A531" t="inlineStr">
        <is>
          <t>09/11/2024</t>
        </is>
      </c>
      <c r="B531" t="inlineStr">
        <is>
          <t>1200 - Bank</t>
        </is>
      </c>
      <c r="C531" t="inlineStr">
        <is>
          <t>Fin: MCDONALDS 1525,SHORE ROAD,BELFAST</t>
        </is>
      </c>
      <c r="D531" t="inlineStr"/>
      <c r="E531" s="5" t="n"/>
      <c r="F531" s="5" t="n">
        <v>15.07</v>
      </c>
      <c r="G531" s="5">
        <f>G530+E531-F531</f>
        <v/>
      </c>
    </row>
    <row r="532">
      <c r="A532" s="3" t="inlineStr">
        <is>
          <t>09/11/2024</t>
        </is>
      </c>
      <c r="B532" s="3" t="inlineStr">
        <is>
          <t>1200 - Bank</t>
        </is>
      </c>
      <c r="C532" s="3" t="inlineStr">
        <is>
          <t>Fin: NORTHLINK M1 LTD,BALGEEN,A92CK72 2.30 EUR XR 1.197917</t>
        </is>
      </c>
      <c r="D532" s="3" t="inlineStr"/>
      <c r="E532" s="4" t="n"/>
      <c r="F532" s="4" t="n">
        <v>1.92</v>
      </c>
      <c r="G532" s="4">
        <f>G531+E532-F532</f>
        <v/>
      </c>
    </row>
    <row r="533">
      <c r="A533" t="inlineStr">
        <is>
          <t>09/11/2024</t>
        </is>
      </c>
      <c r="B533" t="inlineStr">
        <is>
          <t>1200 - Bank</t>
        </is>
      </c>
      <c r="C533" t="inlineStr">
        <is>
          <t>Fin: PARK RITE SMITHFIELD,SMITHF,DUBLIN 13.80 EUR XR 1.198957</t>
        </is>
      </c>
      <c r="D533" t="inlineStr"/>
      <c r="E533" s="5" t="n"/>
      <c r="F533" s="5" t="n">
        <v>11.51</v>
      </c>
      <c r="G533" s="5">
        <f>G532+E533-F533</f>
        <v/>
      </c>
    </row>
    <row r="534">
      <c r="A534" s="3" t="inlineStr">
        <is>
          <t>09/11/2024</t>
        </is>
      </c>
      <c r="B534" s="3" t="inlineStr">
        <is>
          <t>1200 - Bank</t>
        </is>
      </c>
      <c r="C534" s="3" t="inlineStr">
        <is>
          <t>Fin: THE ART OF COFFEE,Sir John R,D02DT1 33.05 EUR XR 1.198767</t>
        </is>
      </c>
      <c r="D534" s="3" t="inlineStr"/>
      <c r="E534" s="4" t="n"/>
      <c r="F534" s="4" t="n">
        <v>27.57</v>
      </c>
      <c r="G534" s="4">
        <f>G533+E534-F534</f>
        <v/>
      </c>
    </row>
    <row r="535">
      <c r="A535" t="inlineStr">
        <is>
          <t>09/11/2024</t>
        </is>
      </c>
      <c r="B535" t="inlineStr">
        <is>
          <t>1200 - Bank</t>
        </is>
      </c>
      <c r="C535" t="inlineStr">
        <is>
          <t>Fin: THE ART OF COFFEE,Sir John R,D02DT1 6 EUR XR 1.197605</t>
        </is>
      </c>
      <c r="D535" t="inlineStr"/>
      <c r="E535" s="5" t="n"/>
      <c r="F535" s="5" t="n">
        <v>5.01</v>
      </c>
      <c r="G535" s="5">
        <f>G534+E535-F535</f>
        <v/>
      </c>
    </row>
    <row r="536">
      <c r="A536" s="3" t="inlineStr">
        <is>
          <t>09/11/2024</t>
        </is>
      </c>
      <c r="B536" s="3" t="inlineStr">
        <is>
          <t>1200 - Bank</t>
        </is>
      </c>
      <c r="C536" s="3" t="inlineStr">
        <is>
          <t>NORTHLINK M1 LTD A92CK72 IE [CORJRMN27M]</t>
        </is>
      </c>
      <c r="D536" s="3" t="inlineStr"/>
      <c r="E536" s="4" t="n">
        <v>0.01</v>
      </c>
      <c r="F536" s="4" t="n"/>
      <c r="G536" s="4">
        <f>G535+E536-F536</f>
        <v/>
      </c>
    </row>
    <row r="537">
      <c r="A537" t="inlineStr">
        <is>
          <t>11/11/2024</t>
        </is>
      </c>
      <c r="B537" t="inlineStr">
        <is>
          <t>1200 - Bank</t>
        </is>
      </c>
      <c r="C537" t="inlineStr">
        <is>
          <t>AMC CONSTRUCTION (NI) LTD INV-6</t>
        </is>
      </c>
      <c r="D537" t="inlineStr"/>
      <c r="E537" s="5" t="n">
        <v>1670.25</v>
      </c>
      <c r="F537" s="5" t="n"/>
      <c r="G537" s="5">
        <f>G536+E537-F537</f>
        <v/>
      </c>
    </row>
    <row r="538">
      <c r="A538" s="3" t="inlineStr">
        <is>
          <t>11/11/2024</t>
        </is>
      </c>
      <c r="B538" s="3" t="inlineStr">
        <is>
          <t>1200 - Bank</t>
        </is>
      </c>
      <c r="C538" s="3" t="inlineStr">
        <is>
          <t>DD:FUEL CARD SERVICES L C0318041</t>
        </is>
      </c>
      <c r="D538" s="3" t="inlineStr"/>
      <c r="E538" s="4" t="n"/>
      <c r="F538" s="4" t="n">
        <v>87.2</v>
      </c>
      <c r="G538" s="4">
        <f>G537+E538-F538</f>
        <v/>
      </c>
    </row>
    <row r="539">
      <c r="A539" t="inlineStr">
        <is>
          <t>11/11/2024</t>
        </is>
      </c>
      <c r="B539" t="inlineStr">
        <is>
          <t>1200 - Bank</t>
        </is>
      </c>
      <c r="C539" t="inlineStr">
        <is>
          <t>Fee: Card Management</t>
        </is>
      </c>
      <c r="D539" t="inlineStr"/>
      <c r="E539" s="5" t="n"/>
      <c r="F539" s="5" t="n">
        <v>9</v>
      </c>
      <c r="G539" s="5">
        <f>G538+E539-F539</f>
        <v/>
      </c>
    </row>
    <row r="540">
      <c r="A540" s="3" t="inlineStr">
        <is>
          <t>11/11/2024</t>
        </is>
      </c>
      <c r="B540" s="3" t="inlineStr">
        <is>
          <t>1200 - Bank</t>
        </is>
      </c>
      <c r="C540" s="3" t="inlineStr">
        <is>
          <t>Fin: BP EUROSPAR SHANKILL R,BELFAST</t>
        </is>
      </c>
      <c r="D540" s="3" t="inlineStr"/>
      <c r="E540" s="4" t="n"/>
      <c r="F540" s="4" t="n">
        <v>18.9</v>
      </c>
      <c r="G540" s="4">
        <f>G539+E540-F540</f>
        <v/>
      </c>
    </row>
    <row r="541">
      <c r="A541" t="inlineStr">
        <is>
          <t>11/11/2024</t>
        </is>
      </c>
      <c r="B541" t="inlineStr">
        <is>
          <t>1200 - Bank</t>
        </is>
      </c>
      <c r="C541" t="inlineStr">
        <is>
          <t>Fin: BP GLENWELL F/STN,NEWTOWNABBEY</t>
        </is>
      </c>
      <c r="D541" t="inlineStr"/>
      <c r="E541" s="5" t="n"/>
      <c r="F541" s="5" t="n">
        <v>71.97</v>
      </c>
      <c r="G541" s="5">
        <f>G540+E541-F541</f>
        <v/>
      </c>
    </row>
    <row r="542">
      <c r="A542" s="3" t="inlineStr">
        <is>
          <t>11/11/2024</t>
        </is>
      </c>
      <c r="B542" s="3" t="inlineStr">
        <is>
          <t>1200 - Bank</t>
        </is>
      </c>
      <c r="C542" s="3" t="inlineStr">
        <is>
          <t>Fin: That Prize Guy Ltd,Enterprise,Bango</t>
        </is>
      </c>
      <c r="D542" s="3" t="inlineStr"/>
      <c r="E542" s="4" t="n"/>
      <c r="F542" s="4" t="n">
        <v>17.14</v>
      </c>
      <c r="G542" s="4">
        <f>G541+E542-F542</f>
        <v/>
      </c>
    </row>
    <row r="543">
      <c r="A543" t="inlineStr">
        <is>
          <t>11/11/2024</t>
        </is>
      </c>
      <c r="B543" t="inlineStr">
        <is>
          <t>1200 - Bank</t>
        </is>
      </c>
      <c r="C543" t="inlineStr">
        <is>
          <t>Fin: That Prize Guy Ltd,Enterprise,Bango</t>
        </is>
      </c>
      <c r="D543" t="inlineStr"/>
      <c r="E543" s="5" t="n"/>
      <c r="F543" s="5" t="n">
        <v>17.85</v>
      </c>
      <c r="G543" s="5">
        <f>G542+E543-F543</f>
        <v/>
      </c>
    </row>
    <row r="544">
      <c r="A544" s="3" t="inlineStr">
        <is>
          <t>11/11/2024</t>
        </is>
      </c>
      <c r="B544" s="3" t="inlineStr">
        <is>
          <t>1200 - Bank</t>
        </is>
      </c>
      <c r="C544" s="3" t="inlineStr">
        <is>
          <t>Fin: That Prize Guy Ltd,Enterprise,Bango</t>
        </is>
      </c>
      <c r="D544" s="3" t="inlineStr"/>
      <c r="E544" s="4" t="n"/>
      <c r="F544" s="4" t="n">
        <v>17.87</v>
      </c>
      <c r="G544" s="4">
        <f>G543+E544-F544</f>
        <v/>
      </c>
    </row>
    <row r="545">
      <c r="A545" t="inlineStr">
        <is>
          <t>11/11/2024</t>
        </is>
      </c>
      <c r="B545" t="inlineStr">
        <is>
          <t>1200 - Bank</t>
        </is>
      </c>
      <c r="C545" t="inlineStr">
        <is>
          <t>Fin: That Prize Guy Ltd,Enterprise,Bango</t>
        </is>
      </c>
      <c r="D545" t="inlineStr"/>
      <c r="E545" s="5" t="n"/>
      <c r="F545" s="5" t="n">
        <v>18.02</v>
      </c>
      <c r="G545" s="5">
        <f>G544+E545-F545</f>
        <v/>
      </c>
    </row>
    <row r="546">
      <c r="A546" s="3" t="inlineStr">
        <is>
          <t>11/11/2024</t>
        </is>
      </c>
      <c r="B546" s="3" t="inlineStr">
        <is>
          <t>1200 - Bank</t>
        </is>
      </c>
      <c r="C546" s="3" t="inlineStr">
        <is>
          <t>Fin: That Prize Guy Ltd,Enterprise,Bango</t>
        </is>
      </c>
      <c r="D546" s="3" t="inlineStr"/>
      <c r="E546" s="4" t="n"/>
      <c r="F546" s="4" t="n">
        <v>19.29</v>
      </c>
      <c r="G546" s="4">
        <f>G545+E546-F546</f>
        <v/>
      </c>
    </row>
    <row r="547">
      <c r="A547" t="inlineStr">
        <is>
          <t>11/11/2024</t>
        </is>
      </c>
      <c r="B547" t="inlineStr">
        <is>
          <t>1200 - Bank</t>
        </is>
      </c>
      <c r="C547" t="inlineStr">
        <is>
          <t>Fin: That Prize Guy Ltd,Enterprise,Bango</t>
        </is>
      </c>
      <c r="D547" t="inlineStr"/>
      <c r="E547" s="5" t="n"/>
      <c r="F547" s="5" t="n">
        <v>22.81</v>
      </c>
      <c r="G547" s="5">
        <f>G546+E547-F547</f>
        <v/>
      </c>
    </row>
    <row r="548">
      <c r="A548" s="3" t="inlineStr">
        <is>
          <t>11/11/2024</t>
        </is>
      </c>
      <c r="B548" s="3" t="inlineStr">
        <is>
          <t>1200 - Bank</t>
        </is>
      </c>
      <c r="C548" s="3" t="inlineStr">
        <is>
          <t>Fin: That Prize Guy Ltd,Enterprise,Bango</t>
        </is>
      </c>
      <c r="D548" s="3" t="inlineStr"/>
      <c r="E548" s="4" t="n"/>
      <c r="F548" s="4" t="n">
        <v>23.38</v>
      </c>
      <c r="G548" s="4">
        <f>G547+E548-F548</f>
        <v/>
      </c>
    </row>
    <row r="549">
      <c r="A549" t="inlineStr">
        <is>
          <t>11/11/2024</t>
        </is>
      </c>
      <c r="B549" t="inlineStr">
        <is>
          <t>1200 - Bank</t>
        </is>
      </c>
      <c r="C549" t="inlineStr">
        <is>
          <t>Fin: That Prize Guy Ltd,Enterprise,Bango</t>
        </is>
      </c>
      <c r="D549" t="inlineStr"/>
      <c r="E549" s="5" t="n"/>
      <c r="F549" s="5" t="n">
        <v>23.38</v>
      </c>
      <c r="G549" s="5">
        <f>G548+E549-F549</f>
        <v/>
      </c>
    </row>
    <row r="550">
      <c r="A550" s="3" t="inlineStr">
        <is>
          <t>11/11/2024</t>
        </is>
      </c>
      <c r="B550" s="3" t="inlineStr">
        <is>
          <t>1200 - Bank</t>
        </is>
      </c>
      <c r="C550" s="3" t="inlineStr">
        <is>
          <t>Fin: That Prize Guy Ltd,Enterprise,Bango</t>
        </is>
      </c>
      <c r="D550" s="3" t="inlineStr"/>
      <c r="E550" s="4" t="n"/>
      <c r="F550" s="4" t="n">
        <v>48.15</v>
      </c>
      <c r="G550" s="4">
        <f>G549+E550-F550</f>
        <v/>
      </c>
    </row>
    <row r="551">
      <c r="A551" t="inlineStr">
        <is>
          <t>11/11/2024</t>
        </is>
      </c>
      <c r="B551" t="inlineStr">
        <is>
          <t>1200 - Bank</t>
        </is>
      </c>
      <c r="C551" t="inlineStr">
        <is>
          <t>Fin: That Prize Guy Ltd,Enterprise,Bango</t>
        </is>
      </c>
      <c r="D551" t="inlineStr"/>
      <c r="E551" s="5" t="n"/>
      <c r="F551" s="5" t="n">
        <v>54.22</v>
      </c>
      <c r="G551" s="5">
        <f>G550+E551-F551</f>
        <v/>
      </c>
    </row>
    <row r="552">
      <c r="A552" s="3" t="inlineStr">
        <is>
          <t>11/11/2024</t>
        </is>
      </c>
      <c r="B552" s="3" t="inlineStr">
        <is>
          <t>1200 - Bank</t>
        </is>
      </c>
      <c r="C552" s="3" t="inlineStr">
        <is>
          <t>gary leckey gary</t>
        </is>
      </c>
      <c r="D552" s="3" t="inlineStr"/>
      <c r="E552" s="4" t="n"/>
      <c r="F552" s="4" t="n">
        <v>550</v>
      </c>
      <c r="G552" s="4">
        <f>G551+E552-F552</f>
        <v/>
      </c>
    </row>
    <row r="553">
      <c r="A553" t="inlineStr">
        <is>
          <t>11/11/2024</t>
        </is>
      </c>
      <c r="B553" t="inlineStr">
        <is>
          <t>1200 - Bank</t>
        </is>
      </c>
      <c r="C553" t="inlineStr">
        <is>
          <t>tina brown tina</t>
        </is>
      </c>
      <c r="D553" t="inlineStr"/>
      <c r="E553" s="5" t="n"/>
      <c r="F553" s="5" t="n">
        <v>450</v>
      </c>
      <c r="G553" s="5">
        <f>G552+E553-F553</f>
        <v/>
      </c>
    </row>
    <row r="554">
      <c r="A554" s="3" t="inlineStr">
        <is>
          <t>13/11/2024</t>
        </is>
      </c>
      <c r="B554" s="3" t="inlineStr">
        <is>
          <t>1200 - Bank</t>
        </is>
      </c>
      <c r="C554" s="3" t="inlineStr">
        <is>
          <t>Fin: BETHS ALLEN LTD,Crumlin Road,Belfas</t>
        </is>
      </c>
      <c r="D554" s="3" t="inlineStr"/>
      <c r="E554" s="4" t="n"/>
      <c r="F554" s="4" t="n">
        <v>0.1</v>
      </c>
      <c r="G554" s="4">
        <f>G553+E554-F554</f>
        <v/>
      </c>
    </row>
    <row r="555">
      <c r="A555" t="inlineStr">
        <is>
          <t>13/11/2024</t>
        </is>
      </c>
      <c r="B555" t="inlineStr">
        <is>
          <t>1200 - Bank</t>
        </is>
      </c>
      <c r="C555" t="inlineStr">
        <is>
          <t>Fin: BP EUROSPAR SHANKILL R,BELFAST</t>
        </is>
      </c>
      <c r="D555" t="inlineStr"/>
      <c r="E555" s="5" t="n"/>
      <c r="F555" s="5" t="n">
        <v>1.75</v>
      </c>
      <c r="G555" s="5">
        <f>G554+E555-F555</f>
        <v/>
      </c>
    </row>
    <row r="556">
      <c r="A556" s="3" t="inlineStr">
        <is>
          <t>13/11/2024</t>
        </is>
      </c>
      <c r="B556" s="3" t="inlineStr">
        <is>
          <t>1200 - Bank</t>
        </is>
      </c>
      <c r="C556" s="3" t="inlineStr">
        <is>
          <t>Fin: E07047900000000,BLACKSTAFF E,BELFAS</t>
        </is>
      </c>
      <c r="D556" s="3" t="inlineStr"/>
      <c r="E556" s="4" t="n"/>
      <c r="F556" s="4" t="n">
        <v>500</v>
      </c>
      <c r="G556" s="4">
        <f>G555+E556-F556</f>
        <v/>
      </c>
    </row>
    <row r="557">
      <c r="A557" t="inlineStr">
        <is>
          <t>13/11/2024</t>
        </is>
      </c>
      <c r="B557" t="inlineStr">
        <is>
          <t>1200 - Bank</t>
        </is>
      </c>
      <c r="C557" t="inlineStr">
        <is>
          <t>Fin: Kolormaster,535E Falls Road,Belfast</t>
        </is>
      </c>
      <c r="D557" t="inlineStr"/>
      <c r="E557" s="5" t="n"/>
      <c r="F557" s="5" t="n">
        <v>15</v>
      </c>
      <c r="G557" s="5">
        <f>G556+E557-F557</f>
        <v/>
      </c>
    </row>
    <row r="558">
      <c r="A558" s="3" t="inlineStr">
        <is>
          <t>13/11/2024</t>
        </is>
      </c>
      <c r="B558" s="3" t="inlineStr">
        <is>
          <t>1200 - Bank</t>
        </is>
      </c>
      <c r="C558" s="3" t="inlineStr">
        <is>
          <t>Fin: That Prize Guy Ltd,Enterprise,Bango</t>
        </is>
      </c>
      <c r="D558" s="3" t="inlineStr"/>
      <c r="E558" s="4" t="n"/>
      <c r="F558" s="4" t="n">
        <v>1.76</v>
      </c>
      <c r="G558" s="4">
        <f>G557+E558-F558</f>
        <v/>
      </c>
    </row>
    <row r="559">
      <c r="A559" t="inlineStr">
        <is>
          <t>13/11/2024</t>
        </is>
      </c>
      <c r="B559" t="inlineStr">
        <is>
          <t>1200 - Bank</t>
        </is>
      </c>
      <c r="C559" t="inlineStr">
        <is>
          <t>Fin: That Prize Guy Ltd,Enterprise,Bango</t>
        </is>
      </c>
      <c r="D559" t="inlineStr"/>
      <c r="E559" s="5" t="n"/>
      <c r="F559" s="5" t="n">
        <v>11.69</v>
      </c>
      <c r="G559" s="5">
        <f>G558+E559-F559</f>
        <v/>
      </c>
    </row>
    <row r="560">
      <c r="A560" s="3" t="inlineStr">
        <is>
          <t>13/11/2024</t>
        </is>
      </c>
      <c r="B560" s="3" t="inlineStr">
        <is>
          <t>1200 - Bank</t>
        </is>
      </c>
      <c r="C560" s="3" t="inlineStr">
        <is>
          <t>Fin: That Prize Guy Ltd,Enterprise,Bango</t>
        </is>
      </c>
      <c r="D560" s="3" t="inlineStr"/>
      <c r="E560" s="4" t="n"/>
      <c r="F560" s="4" t="n">
        <v>11.69</v>
      </c>
      <c r="G560" s="4">
        <f>G559+E560-F560</f>
        <v/>
      </c>
    </row>
    <row r="561">
      <c r="A561" t="inlineStr">
        <is>
          <t>13/11/2024</t>
        </is>
      </c>
      <c r="B561" t="inlineStr">
        <is>
          <t>1200 - Bank</t>
        </is>
      </c>
      <c r="C561" t="inlineStr">
        <is>
          <t>Fin: That Prize Guy Ltd,Enterprise,Bango</t>
        </is>
      </c>
      <c r="D561" t="inlineStr"/>
      <c r="E561" s="5" t="n"/>
      <c r="F561" s="5" t="n">
        <v>13.57</v>
      </c>
      <c r="G561" s="5">
        <f>G560+E561-F561</f>
        <v/>
      </c>
    </row>
    <row r="562">
      <c r="A562" s="3" t="inlineStr">
        <is>
          <t>13/11/2024</t>
        </is>
      </c>
      <c r="B562" s="3" t="inlineStr">
        <is>
          <t>1200 - Bank</t>
        </is>
      </c>
      <c r="C562" s="3" t="inlineStr">
        <is>
          <t>Fin: That Prize Guy Ltd,Enterprise,Bango</t>
        </is>
      </c>
      <c r="D562" s="3" t="inlineStr"/>
      <c r="E562" s="4" t="n"/>
      <c r="F562" s="4" t="n">
        <v>14.88</v>
      </c>
      <c r="G562" s="4">
        <f>G561+E562-F562</f>
        <v/>
      </c>
    </row>
    <row r="563">
      <c r="A563" t="inlineStr">
        <is>
          <t>13/11/2024</t>
        </is>
      </c>
      <c r="B563" t="inlineStr">
        <is>
          <t>1200 - Bank</t>
        </is>
      </c>
      <c r="C563" t="inlineStr">
        <is>
          <t>Fin: That Prize Guy Ltd,Enterprise,Bango</t>
        </is>
      </c>
      <c r="D563" t="inlineStr"/>
      <c r="E563" s="5" t="n"/>
      <c r="F563" s="5" t="n">
        <v>18.7</v>
      </c>
      <c r="G563" s="5">
        <f>G562+E563-F563</f>
        <v/>
      </c>
    </row>
    <row r="564">
      <c r="A564" s="3" t="inlineStr">
        <is>
          <t>13/11/2024</t>
        </is>
      </c>
      <c r="B564" s="3" t="inlineStr">
        <is>
          <t>1200 - Bank</t>
        </is>
      </c>
      <c r="C564" s="3" t="inlineStr">
        <is>
          <t>Fin: That Prize Guy Ltd,Enterprise,Bango</t>
        </is>
      </c>
      <c r="D564" s="3" t="inlineStr"/>
      <c r="E564" s="4" t="n"/>
      <c r="F564" s="4" t="n">
        <v>20.11</v>
      </c>
      <c r="G564" s="4">
        <f>G563+E564-F564</f>
        <v/>
      </c>
    </row>
    <row r="565">
      <c r="A565" t="inlineStr">
        <is>
          <t>13/11/2024</t>
        </is>
      </c>
      <c r="B565" t="inlineStr">
        <is>
          <t>1200 - Bank</t>
        </is>
      </c>
      <c r="C565" t="inlineStr">
        <is>
          <t>Fin: That Prize Guy Ltd,Enterprise,Bango</t>
        </is>
      </c>
      <c r="D565" t="inlineStr"/>
      <c r="E565" s="5" t="n"/>
      <c r="F565" s="5" t="n">
        <v>22.78</v>
      </c>
      <c r="G565" s="5">
        <f>G564+E565-F565</f>
        <v/>
      </c>
    </row>
    <row r="566">
      <c r="A566" s="3" t="inlineStr">
        <is>
          <t>14/11/2024</t>
        </is>
      </c>
      <c r="B566" s="3" t="inlineStr">
        <is>
          <t>1200 - Bank</t>
        </is>
      </c>
      <c r="C566" s="3" t="inlineStr">
        <is>
          <t>Fin: BP EUROSPAR SHANKILL R,BELFAST</t>
        </is>
      </c>
      <c r="D566" s="3" t="inlineStr"/>
      <c r="E566" s="4" t="n"/>
      <c r="F566" s="4" t="n">
        <v>6.74</v>
      </c>
      <c r="G566" s="4">
        <f>G565+E566-F566</f>
        <v/>
      </c>
    </row>
    <row r="567">
      <c r="A567" t="inlineStr">
        <is>
          <t>14/11/2024</t>
        </is>
      </c>
      <c r="B567" t="inlineStr">
        <is>
          <t>1200 - Bank</t>
        </is>
      </c>
      <c r="C567" t="inlineStr">
        <is>
          <t>tina brown tina</t>
        </is>
      </c>
      <c r="D567" t="inlineStr"/>
      <c r="E567" s="5" t="n"/>
      <c r="F567" s="5" t="n">
        <v>10</v>
      </c>
      <c r="G567" s="5">
        <f>G566+E567-F567</f>
        <v/>
      </c>
    </row>
    <row r="568">
      <c r="A568" s="3" t="inlineStr">
        <is>
          <t>15/11/2024</t>
        </is>
      </c>
      <c r="B568" s="3" t="inlineStr">
        <is>
          <t>1200 - Bank</t>
        </is>
      </c>
      <c r="C568" s="3" t="inlineStr">
        <is>
          <t>AMC CONSTRUCTION (NI) LTD INV-7</t>
        </is>
      </c>
      <c r="D568" s="3" t="inlineStr"/>
      <c r="E568" s="4" t="n">
        <v>2618</v>
      </c>
      <c r="F568" s="4" t="n"/>
      <c r="G568" s="4">
        <f>G567+E568-F568</f>
        <v/>
      </c>
    </row>
    <row r="569">
      <c r="A569" t="inlineStr">
        <is>
          <t>15/11/2024</t>
        </is>
      </c>
      <c r="B569" t="inlineStr">
        <is>
          <t>1200 - Bank</t>
        </is>
      </c>
      <c r="C569" t="inlineStr">
        <is>
          <t>Fin: 52 ARDOYNE AVENUE,BELFAST</t>
        </is>
      </c>
      <c r="D569" t="inlineStr"/>
      <c r="E569" s="5" t="n">
        <v>100</v>
      </c>
      <c r="F569" s="5" t="n"/>
      <c r="G569" s="5">
        <f>G568+E569-F569</f>
        <v/>
      </c>
    </row>
    <row r="570">
      <c r="A570" s="3" t="inlineStr">
        <is>
          <t>15/11/2024</t>
        </is>
      </c>
      <c r="B570" s="3" t="inlineStr">
        <is>
          <t>1200 - Bank</t>
        </is>
      </c>
      <c r="C570" s="3" t="inlineStr">
        <is>
          <t>Fin: ASDA STORES LTD 4287,UNIT 1 ,BELFAS</t>
        </is>
      </c>
      <c r="D570" s="3" t="inlineStr"/>
      <c r="E570" s="4" t="n"/>
      <c r="F570" s="4" t="n">
        <v>3.1</v>
      </c>
      <c r="G570" s="4">
        <f>G569+E570-F570</f>
        <v/>
      </c>
    </row>
    <row r="571">
      <c r="A571" t="inlineStr">
        <is>
          <t>15/11/2024</t>
        </is>
      </c>
      <c r="B571" t="inlineStr">
        <is>
          <t>1200 - Bank</t>
        </is>
      </c>
      <c r="C571" t="inlineStr">
        <is>
          <t>Fin: HOLLAND AND BARRET,BELFAST KENNE</t>
        </is>
      </c>
      <c r="D571" t="inlineStr"/>
      <c r="E571" s="5" t="n"/>
      <c r="F571" s="5" t="n">
        <v>82.92</v>
      </c>
      <c r="G571" s="5">
        <f>G570+E571-F571</f>
        <v/>
      </c>
    </row>
    <row r="572">
      <c r="A572" s="3" t="inlineStr">
        <is>
          <t>15/11/2024</t>
        </is>
      </c>
      <c r="B572" s="3" t="inlineStr">
        <is>
          <t>1200 - Bank</t>
        </is>
      </c>
      <c r="C572" s="3" t="inlineStr">
        <is>
          <t>Fin: MUSGRAVE MARKET PLACE,1-15 D,BELFAS</t>
        </is>
      </c>
      <c r="D572" s="3" t="inlineStr"/>
      <c r="E572" s="4" t="n"/>
      <c r="F572" s="4" t="n">
        <v>19.18</v>
      </c>
      <c r="G572" s="4">
        <f>G571+E572-F572</f>
        <v/>
      </c>
    </row>
    <row r="573">
      <c r="A573" t="inlineStr">
        <is>
          <t>15/11/2024</t>
        </is>
      </c>
      <c r="B573" t="inlineStr">
        <is>
          <t>1200 - Bank</t>
        </is>
      </c>
      <c r="C573" t="inlineStr">
        <is>
          <t>Fin: That Prize Guy Ltd,Enterprise,Bango</t>
        </is>
      </c>
      <c r="D573" t="inlineStr"/>
      <c r="E573" s="5" t="n"/>
      <c r="F573" s="5" t="n">
        <v>9.789999999999999</v>
      </c>
      <c r="G573" s="5">
        <f>G572+E573-F573</f>
        <v/>
      </c>
    </row>
    <row r="574">
      <c r="A574" s="3" t="inlineStr">
        <is>
          <t>15/11/2024</t>
        </is>
      </c>
      <c r="B574" s="3" t="inlineStr">
        <is>
          <t>1200 - Bank</t>
        </is>
      </c>
      <c r="C574" s="3" t="inlineStr">
        <is>
          <t>gary leckey gary</t>
        </is>
      </c>
      <c r="D574" s="3" t="inlineStr"/>
      <c r="E574" s="4" t="n"/>
      <c r="F574" s="4" t="n">
        <v>100</v>
      </c>
      <c r="G574" s="4">
        <f>G573+E574-F574</f>
        <v/>
      </c>
    </row>
    <row r="575">
      <c r="A575" t="inlineStr">
        <is>
          <t>15/11/2024</t>
        </is>
      </c>
      <c r="B575" t="inlineStr">
        <is>
          <t>1200 - Bank</t>
        </is>
      </c>
      <c r="C575" t="inlineStr">
        <is>
          <t>gary leckey gary</t>
        </is>
      </c>
      <c r="D575" t="inlineStr"/>
      <c r="E575" s="5" t="n"/>
      <c r="F575" s="5" t="n">
        <v>500</v>
      </c>
      <c r="G575" s="5">
        <f>G574+E575-F575</f>
        <v/>
      </c>
    </row>
    <row r="576">
      <c r="A576" s="3" t="inlineStr">
        <is>
          <t>16/11/2024</t>
        </is>
      </c>
      <c r="B576" s="3" t="inlineStr">
        <is>
          <t>1200 - Bank</t>
        </is>
      </c>
      <c r="C576" s="3" t="inlineStr">
        <is>
          <t>Fin: E07047700000000,FALLS ROAD, ,BELFAS</t>
        </is>
      </c>
      <c r="D576" s="3" t="inlineStr"/>
      <c r="E576" s="4" t="n"/>
      <c r="F576" s="4" t="n">
        <v>500</v>
      </c>
      <c r="G576" s="4">
        <f>G575+E576-F576</f>
        <v/>
      </c>
    </row>
    <row r="577">
      <c r="A577" t="inlineStr">
        <is>
          <t>16/11/2024</t>
        </is>
      </c>
      <c r="B577" t="inlineStr">
        <is>
          <t>1200 - Bank</t>
        </is>
      </c>
      <c r="C577" t="inlineStr">
        <is>
          <t>Fin: INVIDEO INNOVATION,3 CHURC,SINGAPOR 35 USD XR 1.262626</t>
        </is>
      </c>
      <c r="D577" t="inlineStr"/>
      <c r="E577" s="5" t="n"/>
      <c r="F577" s="5" t="n">
        <v>27.72</v>
      </c>
      <c r="G577" s="5">
        <f>G576+E577-F577</f>
        <v/>
      </c>
    </row>
    <row r="578">
      <c r="A578" s="3" t="inlineStr">
        <is>
          <t>16/11/2024</t>
        </is>
      </c>
      <c r="B578" s="3" t="inlineStr">
        <is>
          <t>1200 - Bank</t>
        </is>
      </c>
      <c r="C578" s="3" t="inlineStr">
        <is>
          <t>gary leckey gary</t>
        </is>
      </c>
      <c r="D578" s="3" t="inlineStr"/>
      <c r="E578" s="4" t="n"/>
      <c r="F578" s="4" t="n">
        <v>500</v>
      </c>
      <c r="G578" s="4">
        <f>G577+E578-F578</f>
        <v/>
      </c>
    </row>
    <row r="579">
      <c r="A579" t="inlineStr">
        <is>
          <t>16/11/2024</t>
        </is>
      </c>
      <c r="B579" t="inlineStr">
        <is>
          <t>1200 - Bank</t>
        </is>
      </c>
      <c r="C579" t="inlineStr">
        <is>
          <t>gary leckey gary</t>
        </is>
      </c>
      <c r="D579" t="inlineStr"/>
      <c r="E579" s="5" t="n"/>
      <c r="F579" s="5" t="n">
        <v>500</v>
      </c>
      <c r="G579" s="5">
        <f>G578+E579-F579</f>
        <v/>
      </c>
    </row>
    <row r="580">
      <c r="A580" s="3" t="inlineStr">
        <is>
          <t>17/11/2024</t>
        </is>
      </c>
      <c r="B580" s="3" t="inlineStr">
        <is>
          <t>1200 - Bank</t>
        </is>
      </c>
      <c r="C580" s="3" t="inlineStr">
        <is>
          <t>Fin: 290 ANTRIM ROAD,NEWTOWNABBY</t>
        </is>
      </c>
      <c r="D580" s="3" t="inlineStr"/>
      <c r="E580" s="4" t="n">
        <v>330</v>
      </c>
      <c r="F580" s="4" t="n"/>
      <c r="G580" s="4">
        <f>G579+E580-F580</f>
        <v/>
      </c>
    </row>
    <row r="581">
      <c r="A581" t="inlineStr">
        <is>
          <t>18/11/2024</t>
        </is>
      </c>
      <c r="B581" t="inlineStr">
        <is>
          <t>1200 - Bank</t>
        </is>
      </c>
      <c r="C581" t="inlineStr">
        <is>
          <t>DD:FUEL CARD SERVICES L C0318041</t>
        </is>
      </c>
      <c r="D581" t="inlineStr"/>
      <c r="E581" s="5" t="n"/>
      <c r="F581" s="5" t="n">
        <v>90.83</v>
      </c>
      <c r="G581" s="5">
        <f>G580+E581-F581</f>
        <v/>
      </c>
    </row>
    <row r="582">
      <c r="A582" s="3" t="inlineStr">
        <is>
          <t>18/11/2024</t>
        </is>
      </c>
      <c r="B582" s="3" t="inlineStr">
        <is>
          <t>1200 - Bank</t>
        </is>
      </c>
      <c r="C582" s="3" t="inlineStr">
        <is>
          <t>Fee for cash loads over 0/month</t>
        </is>
      </c>
      <c r="D582" s="3" t="inlineStr"/>
      <c r="E582" s="4" t="n"/>
      <c r="F582" s="4" t="n">
        <v>3</v>
      </c>
      <c r="G582" s="4">
        <f>G581+E582-F582</f>
        <v/>
      </c>
    </row>
    <row r="583">
      <c r="A583" t="inlineStr">
        <is>
          <t>18/11/2024</t>
        </is>
      </c>
      <c r="B583" t="inlineStr">
        <is>
          <t>1200 - Bank</t>
        </is>
      </c>
      <c r="C583" t="inlineStr">
        <is>
          <t>Fin: CURRYS NEWTOWN ABBEY,NEWTOWN ABBEY</t>
        </is>
      </c>
      <c r="D583" t="inlineStr"/>
      <c r="E583" s="5" t="n"/>
      <c r="F583" s="5" t="n">
        <v>15</v>
      </c>
      <c r="G583" s="5">
        <f>G582+E583-F583</f>
        <v/>
      </c>
    </row>
    <row r="584">
      <c r="A584" s="3" t="inlineStr">
        <is>
          <t>18/11/2024</t>
        </is>
      </c>
      <c r="B584" s="3" t="inlineStr">
        <is>
          <t>1200 - Bank</t>
        </is>
      </c>
      <c r="C584" s="3" t="inlineStr">
        <is>
          <t>Fin: CURRYS NEWTOWN ABBEY,NEWTOWN ABBEY</t>
        </is>
      </c>
      <c r="D584" s="3" t="inlineStr"/>
      <c r="E584" s="4" t="n"/>
      <c r="F584" s="4" t="n">
        <v>273.99</v>
      </c>
      <c r="G584" s="4">
        <f>G583+E584-F584</f>
        <v/>
      </c>
    </row>
    <row r="585">
      <c r="A585" t="inlineStr">
        <is>
          <t>18/11/2024</t>
        </is>
      </c>
      <c r="B585" t="inlineStr">
        <is>
          <t>1200 - Bank</t>
        </is>
      </c>
      <c r="C585" t="inlineStr">
        <is>
          <t>Fin: Chill,311 Cavehill Road,Belfast</t>
        </is>
      </c>
      <c r="D585" t="inlineStr"/>
      <c r="E585" s="5" t="n"/>
      <c r="F585" s="5" t="n">
        <v>2.25</v>
      </c>
      <c r="G585" s="5">
        <f>G584+E585-F585</f>
        <v/>
      </c>
    </row>
    <row r="586">
      <c r="A586" s="3" t="inlineStr">
        <is>
          <t>18/11/2024</t>
        </is>
      </c>
      <c r="B586" s="3" t="inlineStr">
        <is>
          <t>1200 - Bank</t>
        </is>
      </c>
      <c r="C586" s="3" t="inlineStr">
        <is>
          <t>Fin: E07047700000000,FALLS ROAD, ,BELFAS</t>
        </is>
      </c>
      <c r="D586" s="3" t="inlineStr"/>
      <c r="E586" s="4" t="n"/>
      <c r="F586" s="4" t="n">
        <v>500</v>
      </c>
      <c r="G586" s="4">
        <f>G585+E586-F586</f>
        <v/>
      </c>
    </row>
    <row r="587">
      <c r="A587" t="inlineStr">
        <is>
          <t>18/11/2024</t>
        </is>
      </c>
      <c r="B587" t="inlineStr">
        <is>
          <t>1200 - Bank</t>
        </is>
      </c>
      <c r="C587" t="inlineStr">
        <is>
          <t>Fin: FLAX EUROSPAR,60 ARDOYNE AVE,BELFAS</t>
        </is>
      </c>
      <c r="D587" t="inlineStr"/>
      <c r="E587" s="5" t="n"/>
      <c r="F587" s="5" t="n">
        <v>5.99</v>
      </c>
      <c r="G587" s="5">
        <f>G586+E587-F587</f>
        <v/>
      </c>
    </row>
    <row r="588">
      <c r="A588" s="3" t="inlineStr">
        <is>
          <t>18/11/2024</t>
        </is>
      </c>
      <c r="B588" s="3" t="inlineStr">
        <is>
          <t>1200 - Bank</t>
        </is>
      </c>
      <c r="C588" s="3" t="inlineStr">
        <is>
          <t>Fin: NYX*HollywoodBowlGroup,HemelHempste</t>
        </is>
      </c>
      <c r="D588" s="3" t="inlineStr"/>
      <c r="E588" s="4" t="n"/>
      <c r="F588" s="4" t="n">
        <v>5</v>
      </c>
      <c r="G588" s="4">
        <f>G587+E588-F588</f>
        <v/>
      </c>
    </row>
    <row r="589">
      <c r="A589" t="inlineStr">
        <is>
          <t>18/11/2024</t>
        </is>
      </c>
      <c r="B589" t="inlineStr">
        <is>
          <t>1200 - Bank</t>
        </is>
      </c>
      <c r="C589" t="inlineStr">
        <is>
          <t>Fin: NYX*HollywoodBowlGroup,HemelHempste</t>
        </is>
      </c>
      <c r="D589" t="inlineStr"/>
      <c r="E589" s="5" t="n"/>
      <c r="F589" s="5" t="n">
        <v>5</v>
      </c>
      <c r="G589" s="5">
        <f>G588+E589-F589</f>
        <v/>
      </c>
    </row>
    <row r="590">
      <c r="A590" s="3" t="inlineStr">
        <is>
          <t>18/11/2024</t>
        </is>
      </c>
      <c r="B590" s="3" t="inlineStr">
        <is>
          <t>1200 - Bank</t>
        </is>
      </c>
      <c r="C590" s="3" t="inlineStr">
        <is>
          <t>Fin: NYX*HollywoodBowlGroup,HemelHempste</t>
        </is>
      </c>
      <c r="D590" s="3" t="inlineStr"/>
      <c r="E590" s="4" t="n"/>
      <c r="F590" s="4" t="n">
        <v>5</v>
      </c>
      <c r="G590" s="4">
        <f>G589+E590-F590</f>
        <v/>
      </c>
    </row>
    <row r="591">
      <c r="A591" t="inlineStr">
        <is>
          <t>18/11/2024</t>
        </is>
      </c>
      <c r="B591" t="inlineStr">
        <is>
          <t>1200 - Bank</t>
        </is>
      </c>
      <c r="C591" t="inlineStr">
        <is>
          <t>Fin: NYX*HollywoodBowlGroup,HemelHempste</t>
        </is>
      </c>
      <c r="D591" t="inlineStr"/>
      <c r="E591" s="5" t="n"/>
      <c r="F591" s="5" t="n">
        <v>5</v>
      </c>
      <c r="G591" s="5">
        <f>G590+E591-F591</f>
        <v/>
      </c>
    </row>
    <row r="592">
      <c r="A592" s="3" t="inlineStr">
        <is>
          <t>18/11/2024</t>
        </is>
      </c>
      <c r="B592" s="3" t="inlineStr">
        <is>
          <t>1200 - Bank</t>
        </is>
      </c>
      <c r="C592" s="3" t="inlineStr">
        <is>
          <t>Fin: PPOINT_*Hugh's Confect,Belfast</t>
        </is>
      </c>
      <c r="D592" s="3" t="inlineStr"/>
      <c r="E592" s="4" t="n"/>
      <c r="F592" s="4" t="n">
        <v>2</v>
      </c>
      <c r="G592" s="4">
        <f>G591+E592-F592</f>
        <v/>
      </c>
    </row>
    <row r="593">
      <c r="A593" t="inlineStr">
        <is>
          <t>18/11/2024</t>
        </is>
      </c>
      <c r="B593" t="inlineStr">
        <is>
          <t>1200 - Bank</t>
        </is>
      </c>
      <c r="C593" t="inlineStr">
        <is>
          <t>G LECKEY 1006862278 gary le</t>
        </is>
      </c>
      <c r="D593" t="inlineStr"/>
      <c r="E593" s="5" t="n">
        <v>61</v>
      </c>
      <c r="F593" s="5" t="n"/>
      <c r="G593" s="5">
        <f>G592+E593-F593</f>
        <v/>
      </c>
    </row>
    <row r="594">
      <c r="A594" s="3" t="inlineStr">
        <is>
          <t>19/11/2024</t>
        </is>
      </c>
      <c r="B594" s="3" t="inlineStr">
        <is>
          <t>1200 - Bank</t>
        </is>
      </c>
      <c r="C594" s="3" t="inlineStr">
        <is>
          <t>Fee for cash loads over 0/month</t>
        </is>
      </c>
      <c r="D594" s="3" t="inlineStr"/>
      <c r="E594" s="4" t="n"/>
      <c r="F594" s="4" t="n">
        <v>3</v>
      </c>
      <c r="G594" s="4">
        <f>G593+E594-F594</f>
        <v/>
      </c>
    </row>
    <row r="595">
      <c r="A595" t="inlineStr">
        <is>
          <t>19/11/2024</t>
        </is>
      </c>
      <c r="B595" t="inlineStr">
        <is>
          <t>1200 - Bank</t>
        </is>
      </c>
      <c r="C595" t="inlineStr">
        <is>
          <t>Fin: MACE RVH,Busy Bee, Royal Vic,Belfas</t>
        </is>
      </c>
      <c r="D595" t="inlineStr"/>
      <c r="E595" s="5" t="n"/>
      <c r="F595" s="5" t="n">
        <v>5.44</v>
      </c>
      <c r="G595" s="5">
        <f>G594+E595-F595</f>
        <v/>
      </c>
    </row>
    <row r="596">
      <c r="A596" s="3" t="inlineStr">
        <is>
          <t>19/11/2024</t>
        </is>
      </c>
      <c r="B596" s="3" t="inlineStr">
        <is>
          <t>1200 - Bank</t>
        </is>
      </c>
      <c r="C596" s="3" t="inlineStr">
        <is>
          <t>Fin: Wix.com 1146875505,Tower Brid,Londo</t>
        </is>
      </c>
      <c r="D596" s="3" t="inlineStr"/>
      <c r="E596" s="4" t="n"/>
      <c r="F596" s="4" t="n">
        <v>34.8</v>
      </c>
      <c r="G596" s="4">
        <f>G595+E596-F596</f>
        <v/>
      </c>
    </row>
    <row r="597">
      <c r="A597" t="inlineStr">
        <is>
          <t>19/11/2024</t>
        </is>
      </c>
      <c r="B597" t="inlineStr">
        <is>
          <t>1200 - Bank</t>
        </is>
      </c>
      <c r="C597" t="inlineStr">
        <is>
          <t>Fin: Wix.com 1146880953,Tower Brid,Londo</t>
        </is>
      </c>
      <c r="D597" t="inlineStr"/>
      <c r="E597" s="5" t="n"/>
      <c r="F597" s="5" t="n">
        <v>28.2</v>
      </c>
      <c r="G597" s="5">
        <f>G596+E597-F597</f>
        <v/>
      </c>
    </row>
    <row r="598">
      <c r="A598" s="3" t="inlineStr">
        <is>
          <t>20/11/2024</t>
        </is>
      </c>
      <c r="B598" s="3" t="inlineStr">
        <is>
          <t>1200 - Bank</t>
        </is>
      </c>
      <c r="C598" s="3" t="inlineStr">
        <is>
          <t>Fin: SPAR TWIN SPIRES,UNIT 17-21 ,BELFAS</t>
        </is>
      </c>
      <c r="D598" s="3" t="inlineStr"/>
      <c r="E598" s="4" t="n"/>
      <c r="F598" s="4" t="n">
        <v>3.77</v>
      </c>
      <c r="G598" s="4">
        <f>G597+E598-F598</f>
        <v/>
      </c>
    </row>
    <row r="599">
      <c r="A599" t="inlineStr">
        <is>
          <t>25/11/2024</t>
        </is>
      </c>
      <c r="B599" t="inlineStr">
        <is>
          <t>1200 - Bank</t>
        </is>
      </c>
      <c r="C599" t="inlineStr">
        <is>
          <t>Direct Debit Rejected Payment Fee</t>
        </is>
      </c>
      <c r="D599" t="inlineStr"/>
      <c r="E599" s="5" t="n"/>
      <c r="F599" s="5" t="n">
        <v>15</v>
      </c>
      <c r="G599" s="5">
        <f>G598+E599-F599</f>
        <v/>
      </c>
    </row>
    <row r="600">
      <c r="A600" s="3" t="inlineStr">
        <is>
          <t>25/11/2024</t>
        </is>
      </c>
      <c r="B600" s="3" t="inlineStr">
        <is>
          <t>1200 - Bank</t>
        </is>
      </c>
      <c r="C600" s="3" t="inlineStr">
        <is>
          <t>BP EUROSPAR SHANKILL RBELFAST GB [C95G5L45W3]</t>
        </is>
      </c>
      <c r="D600" s="3" t="inlineStr"/>
      <c r="E600" s="4" t="n"/>
      <c r="F600" s="4" t="n">
        <v>2.95</v>
      </c>
      <c r="G600" s="4">
        <f>G599+E600-F600</f>
        <v/>
      </c>
    </row>
    <row r="601">
      <c r="A601" t="inlineStr">
        <is>
          <t>26/11/2024</t>
        </is>
      </c>
      <c r="B601" t="inlineStr">
        <is>
          <t>1200 - Bank</t>
        </is>
      </c>
      <c r="C601" t="inlineStr">
        <is>
          <t>G LECKEY 1006862278 gary le</t>
        </is>
      </c>
      <c r="D601" t="inlineStr"/>
      <c r="E601" s="5" t="n">
        <v>280</v>
      </c>
      <c r="F601" s="5" t="n"/>
      <c r="G601" s="5">
        <f>G600+E601-F601</f>
        <v/>
      </c>
    </row>
    <row r="602">
      <c r="A602" s="3" t="inlineStr">
        <is>
          <t>27/11/2024</t>
        </is>
      </c>
      <c r="B602" s="3" t="inlineStr">
        <is>
          <t>1200 - Bank</t>
        </is>
      </c>
      <c r="C602" s="3" t="inlineStr">
        <is>
          <t>Fin: FUEL CARD SERVICES LTD,HORSFORTH</t>
        </is>
      </c>
      <c r="D602" s="3" t="inlineStr"/>
      <c r="E602" s="4" t="n"/>
      <c r="F602" s="4" t="n">
        <v>195.29</v>
      </c>
      <c r="G602" s="4">
        <f>G601+E602-F602</f>
        <v/>
      </c>
    </row>
    <row r="603">
      <c r="A603" t="inlineStr">
        <is>
          <t>27/11/2024</t>
        </is>
      </c>
      <c r="B603" t="inlineStr">
        <is>
          <t>1200 - Bank</t>
        </is>
      </c>
      <c r="C603" t="inlineStr">
        <is>
          <t>Fin: MURPHY'S STORE,107 ALLIANCE ,BELFAS</t>
        </is>
      </c>
      <c r="D603" t="inlineStr"/>
      <c r="E603" s="5" t="n"/>
      <c r="F603" s="5" t="n">
        <v>20</v>
      </c>
      <c r="G603" s="5">
        <f>G602+E603-F603</f>
        <v/>
      </c>
    </row>
    <row r="604">
      <c r="A604" s="3" t="inlineStr">
        <is>
          <t>27/11/2024</t>
        </is>
      </c>
      <c r="B604" s="3" t="inlineStr">
        <is>
          <t>1200 - Bank</t>
        </is>
      </c>
      <c r="C604" s="3" t="inlineStr">
        <is>
          <t>Fin: SCREWFIX DIRECT,UNIT 2 ,BELFAST 173</t>
        </is>
      </c>
      <c r="D604" s="3" t="inlineStr"/>
      <c r="E604" s="4" t="n"/>
      <c r="F604" s="4" t="n">
        <v>21.45</v>
      </c>
      <c r="G604" s="4">
        <f>G603+E604-F604</f>
        <v/>
      </c>
    </row>
    <row r="605">
      <c r="A605" t="inlineStr">
        <is>
          <t>29/11/2024</t>
        </is>
      </c>
      <c r="B605" t="inlineStr">
        <is>
          <t>1200 - Bank</t>
        </is>
      </c>
      <c r="C605" t="inlineStr">
        <is>
          <t>AMC CONSTRUCTION (NI) LTD INV 019</t>
        </is>
      </c>
      <c r="D605" t="inlineStr"/>
      <c r="E605" s="5" t="n">
        <v>4396</v>
      </c>
      <c r="F605" s="5" t="n"/>
      <c r="G605" s="5">
        <f>G604+E605-F605</f>
        <v/>
      </c>
    </row>
    <row r="606">
      <c r="A606" s="3" t="inlineStr">
        <is>
          <t>29/11/2024</t>
        </is>
      </c>
      <c r="B606" s="3" t="inlineStr">
        <is>
          <t>1200 - Bank</t>
        </is>
      </c>
      <c r="C606" s="3" t="inlineStr">
        <is>
          <t>CSR NI LTD THE CSR GROUP</t>
        </is>
      </c>
      <c r="D606" s="3" t="inlineStr"/>
      <c r="E606" s="4" t="n">
        <v>637.5</v>
      </c>
      <c r="F606" s="4" t="n"/>
      <c r="G606" s="4">
        <f>G605+E606-F606</f>
        <v/>
      </c>
    </row>
    <row r="607">
      <c r="A607" t="inlineStr">
        <is>
          <t>29/11/2024</t>
        </is>
      </c>
      <c r="B607" t="inlineStr">
        <is>
          <t>1200 - Bank</t>
        </is>
      </c>
      <c r="C607" t="inlineStr">
        <is>
          <t>tina brown tina</t>
        </is>
      </c>
      <c r="D607" t="inlineStr"/>
      <c r="E607" s="5" t="n"/>
      <c r="F607" s="5" t="n">
        <v>500</v>
      </c>
      <c r="G607" s="5">
        <f>G606+E607-F607</f>
        <v/>
      </c>
    </row>
    <row r="608">
      <c r="A608" s="3" t="inlineStr">
        <is>
          <t>30/11/2024</t>
        </is>
      </c>
      <c r="B608" s="3" t="inlineStr">
        <is>
          <t>1200 - Bank</t>
        </is>
      </c>
      <c r="C608" s="3" t="inlineStr">
        <is>
          <t>Fin: CINEWORLD CINEMAS,2 QUEENS Q,BELFAS</t>
        </is>
      </c>
      <c r="D608" s="3" t="inlineStr"/>
      <c r="E608" s="4" t="n"/>
      <c r="F608" s="4" t="n">
        <v>6.25</v>
      </c>
      <c r="G608" s="4">
        <f>G607+E608-F608</f>
        <v/>
      </c>
    </row>
    <row r="609">
      <c r="A609" t="inlineStr">
        <is>
          <t>30/11/2024</t>
        </is>
      </c>
      <c r="B609" t="inlineStr">
        <is>
          <t>1200 - Bank</t>
        </is>
      </c>
      <c r="C609" t="inlineStr">
        <is>
          <t>Fin: CINEWORLD CINEMAS,2 QUEENS Q,BELFAS</t>
        </is>
      </c>
      <c r="D609" t="inlineStr"/>
      <c r="E609" s="5" t="n"/>
      <c r="F609" s="5" t="n">
        <v>82.45</v>
      </c>
      <c r="G609" s="5">
        <f>G608+E609-F609</f>
        <v/>
      </c>
    </row>
    <row r="610">
      <c r="A610" s="3" t="inlineStr">
        <is>
          <t>30/11/2024</t>
        </is>
      </c>
      <c r="B610" s="3" t="inlineStr">
        <is>
          <t>1200 - Bank</t>
        </is>
      </c>
      <c r="C610" s="3" t="inlineStr">
        <is>
          <t>gary leckey gary</t>
        </is>
      </c>
      <c r="D610" s="3" t="inlineStr"/>
      <c r="E610" s="4" t="n"/>
      <c r="F610" s="4" t="n">
        <v>100</v>
      </c>
      <c r="G610" s="4">
        <f>G609+E610-F610</f>
        <v/>
      </c>
    </row>
    <row r="611">
      <c r="A611" t="inlineStr">
        <is>
          <t>30/11/2024</t>
        </is>
      </c>
      <c r="B611" t="inlineStr">
        <is>
          <t>1200 - Bank</t>
        </is>
      </c>
      <c r="C611" t="inlineStr">
        <is>
          <t>gary leckey gary</t>
        </is>
      </c>
      <c r="D611" t="inlineStr"/>
      <c r="E611" s="5" t="n"/>
      <c r="F611" s="5" t="n">
        <v>500</v>
      </c>
      <c r="G611" s="5">
        <f>G610+E611-F611</f>
        <v/>
      </c>
    </row>
    <row r="612">
      <c r="A612" s="3" t="inlineStr">
        <is>
          <t>30/11/2024</t>
        </is>
      </c>
      <c r="B612" s="3" t="inlineStr">
        <is>
          <t>1200 - Bank</t>
        </is>
      </c>
      <c r="C612" s="3" t="inlineStr">
        <is>
          <t>tina brown tina</t>
        </is>
      </c>
      <c r="D612" s="3" t="inlineStr"/>
      <c r="E612" s="4" t="n"/>
      <c r="F612" s="4" t="n">
        <v>700</v>
      </c>
      <c r="G612" s="4">
        <f>G611+E612-F612</f>
        <v/>
      </c>
    </row>
    <row r="613">
      <c r="A613" t="inlineStr">
        <is>
          <t>01/12/2024</t>
        </is>
      </c>
      <c r="B613" t="inlineStr">
        <is>
          <t>1200 - Bank</t>
        </is>
      </c>
      <c r="C613" t="inlineStr">
        <is>
          <t>gary leckey gary</t>
        </is>
      </c>
      <c r="D613" t="inlineStr"/>
      <c r="E613" s="5" t="n"/>
      <c r="F613" s="5" t="n">
        <v>500</v>
      </c>
      <c r="G613" s="5">
        <f>G612+E613-F613</f>
        <v/>
      </c>
    </row>
    <row r="614">
      <c r="A614" s="3" t="inlineStr">
        <is>
          <t>02/12/2024</t>
        </is>
      </c>
      <c r="B614" s="3" t="inlineStr">
        <is>
          <t>1200 - Bank</t>
        </is>
      </c>
      <c r="C614" s="3" t="inlineStr">
        <is>
          <t>DD:FUEL CARD SERVICES L C0318041</t>
        </is>
      </c>
      <c r="D614" s="3" t="inlineStr"/>
      <c r="E614" s="4" t="n"/>
      <c r="F614" s="4" t="n">
        <v>142.98</v>
      </c>
      <c r="G614" s="4">
        <f>G613+E614-F614</f>
        <v/>
      </c>
    </row>
    <row r="615">
      <c r="A615" t="inlineStr">
        <is>
          <t>02/12/2024</t>
        </is>
      </c>
      <c r="B615" t="inlineStr">
        <is>
          <t>1200 - Bank</t>
        </is>
      </c>
      <c r="C615" t="inlineStr">
        <is>
          <t>Fin: BOOTS 0633,35-47 DONEGALL PL,BELFAS</t>
        </is>
      </c>
      <c r="D615" t="inlineStr"/>
      <c r="E615" s="5" t="n"/>
      <c r="F615" s="5" t="n">
        <v>16.66</v>
      </c>
      <c r="G615" s="5">
        <f>G614+E615-F615</f>
        <v/>
      </c>
    </row>
    <row r="616">
      <c r="A616" s="3" t="inlineStr">
        <is>
          <t>02/12/2024</t>
        </is>
      </c>
      <c r="B616" s="3" t="inlineStr">
        <is>
          <t>1200 - Bank</t>
        </is>
      </c>
      <c r="C616" s="3" t="inlineStr">
        <is>
          <t>Fin: E07047700000000,FALLS ROAD, ,BELFAS</t>
        </is>
      </c>
      <c r="D616" s="3" t="inlineStr"/>
      <c r="E616" s="4" t="n"/>
      <c r="F616" s="4" t="n">
        <v>500</v>
      </c>
      <c r="G616" s="4">
        <f>G615+E616-F616</f>
        <v/>
      </c>
    </row>
    <row r="617">
      <c r="A617" t="inlineStr">
        <is>
          <t>02/12/2024</t>
        </is>
      </c>
      <c r="B617" t="inlineStr">
        <is>
          <t>1200 - Bank</t>
        </is>
      </c>
      <c r="C617" t="inlineStr">
        <is>
          <t>Fin: E07047700000000,FALLS ROAD, ,BELFAS</t>
        </is>
      </c>
      <c r="D617" t="inlineStr"/>
      <c r="E617" s="5" t="n"/>
      <c r="F617" s="5" t="n">
        <v>500</v>
      </c>
      <c r="G617" s="5">
        <f>G616+E617-F617</f>
        <v/>
      </c>
    </row>
    <row r="618">
      <c r="A618" s="3" t="inlineStr">
        <is>
          <t>02/12/2024</t>
        </is>
      </c>
      <c r="B618" s="3" t="inlineStr">
        <is>
          <t>1200 - Bank</t>
        </is>
      </c>
      <c r="C618" s="3" t="inlineStr">
        <is>
          <t>Fin: E07047900000000,BLACKSTAFF E,BELFAS</t>
        </is>
      </c>
      <c r="D618" s="3" t="inlineStr"/>
      <c r="E618" s="4" t="n"/>
      <c r="F618" s="4" t="n">
        <v>500</v>
      </c>
      <c r="G618" s="4">
        <f>G617+E618-F618</f>
        <v/>
      </c>
    </row>
    <row r="619">
      <c r="A619" t="inlineStr">
        <is>
          <t>02/12/2024</t>
        </is>
      </c>
      <c r="B619" t="inlineStr">
        <is>
          <t>1200 - Bank</t>
        </is>
      </c>
      <c r="C619" t="inlineStr">
        <is>
          <t>Fin: FUNKY MONKEYS,CITYSIDE ,BELFAST BT1</t>
        </is>
      </c>
      <c r="D619" t="inlineStr"/>
      <c r="E619" s="5" t="n"/>
      <c r="F619" s="5" t="n">
        <v>1.75</v>
      </c>
      <c r="G619" s="5">
        <f>G618+E619-F619</f>
        <v/>
      </c>
    </row>
    <row r="620">
      <c r="A620" s="3" t="inlineStr">
        <is>
          <t>02/12/2024</t>
        </is>
      </c>
      <c r="B620" s="3" t="inlineStr">
        <is>
          <t>1200 - Bank</t>
        </is>
      </c>
      <c r="C620" s="3" t="inlineStr">
        <is>
          <t>Fin: FUNKY MONKEYS,CITYSIDE ,BELFAST BT1</t>
        </is>
      </c>
      <c r="D620" s="3" t="inlineStr"/>
      <c r="E620" s="4" t="n"/>
      <c r="F620" s="4" t="n">
        <v>12.05</v>
      </c>
      <c r="G620" s="4">
        <f>G619+E620-F620</f>
        <v/>
      </c>
    </row>
    <row r="621">
      <c r="A621" t="inlineStr">
        <is>
          <t>02/12/2024</t>
        </is>
      </c>
      <c r="B621" t="inlineStr">
        <is>
          <t>1200 - Bank</t>
        </is>
      </c>
      <c r="C621" t="inlineStr">
        <is>
          <t>Fin: LAGAN VALLEY LEISUREPL,LISBURN</t>
        </is>
      </c>
      <c r="D621" t="inlineStr"/>
      <c r="E621" s="5" t="n"/>
      <c r="F621" s="5" t="n">
        <v>2</v>
      </c>
      <c r="G621" s="5">
        <f>G620+E621-F621</f>
        <v/>
      </c>
    </row>
    <row r="622">
      <c r="A622" s="3" t="inlineStr">
        <is>
          <t>02/12/2024</t>
        </is>
      </c>
      <c r="B622" s="3" t="inlineStr">
        <is>
          <t>1200 - Bank</t>
        </is>
      </c>
      <c r="C622" s="3" t="inlineStr">
        <is>
          <t>Fin: MCDONALDS 1525,SHORE ROAD,BELFAST</t>
        </is>
      </c>
      <c r="D622" s="3" t="inlineStr"/>
      <c r="E622" s="4" t="n"/>
      <c r="F622" s="4" t="n">
        <v>11.88</v>
      </c>
      <c r="G622" s="4">
        <f>G621+E622-F622</f>
        <v/>
      </c>
    </row>
    <row r="623">
      <c r="A623" t="inlineStr">
        <is>
          <t>02/12/2024</t>
        </is>
      </c>
      <c r="B623" t="inlineStr">
        <is>
          <t>1200 - Bank</t>
        </is>
      </c>
      <c r="C623" t="inlineStr">
        <is>
          <t>Fin: PPOINT_*BEANIES CONVEN,COUNTY ANTRI</t>
        </is>
      </c>
      <c r="D623" t="inlineStr"/>
      <c r="E623" s="5" t="n"/>
      <c r="F623" s="5" t="n">
        <v>0.89</v>
      </c>
      <c r="G623" s="5">
        <f>G622+E623-F623</f>
        <v/>
      </c>
    </row>
    <row r="624">
      <c r="A624" s="3" t="inlineStr">
        <is>
          <t>02/12/2024</t>
        </is>
      </c>
      <c r="B624" s="3" t="inlineStr">
        <is>
          <t>1200 - Bank</t>
        </is>
      </c>
      <c r="C624" s="3" t="inlineStr">
        <is>
          <t>Fin: PPOINT_*Hugh's Confect,Belfast</t>
        </is>
      </c>
      <c r="D624" s="3" t="inlineStr"/>
      <c r="E624" s="4" t="n"/>
      <c r="F624" s="4" t="n">
        <v>2.5</v>
      </c>
      <c r="G624" s="4">
        <f>G623+E624-F624</f>
        <v/>
      </c>
    </row>
    <row r="625">
      <c r="A625" t="inlineStr">
        <is>
          <t>02/12/2024</t>
        </is>
      </c>
      <c r="B625" t="inlineStr">
        <is>
          <t>1200 - Bank</t>
        </is>
      </c>
      <c r="C625" t="inlineStr">
        <is>
          <t>Fin: SAINSBURYS SUPERMA,KENNEDY C,BELFAS</t>
        </is>
      </c>
      <c r="D625" t="inlineStr"/>
      <c r="E625" s="5" t="n"/>
      <c r="F625" s="5" t="n">
        <v>9.5</v>
      </c>
      <c r="G625" s="5">
        <f>G624+E625-F625</f>
        <v/>
      </c>
    </row>
    <row r="626">
      <c r="A626" s="3" t="inlineStr">
        <is>
          <t>02/12/2024</t>
        </is>
      </c>
      <c r="B626" s="3" t="inlineStr">
        <is>
          <t>1200 - Bank</t>
        </is>
      </c>
      <c r="C626" s="3" t="inlineStr">
        <is>
          <t>Fin: TESCO STORES 3486,BELFAST YORKG</t>
        </is>
      </c>
      <c r="D626" s="3" t="inlineStr"/>
      <c r="E626" s="4" t="n"/>
      <c r="F626" s="4" t="n">
        <v>20.5</v>
      </c>
      <c r="G626" s="4">
        <f>G625+E626-F626</f>
        <v/>
      </c>
    </row>
    <row r="627">
      <c r="A627" t="inlineStr">
        <is>
          <t>02/12/2024</t>
        </is>
      </c>
      <c r="B627" t="inlineStr">
        <is>
          <t>1200 - Bank</t>
        </is>
      </c>
      <c r="C627" t="inlineStr">
        <is>
          <t>G LECKEY 1006862278 gary le</t>
        </is>
      </c>
      <c r="D627" t="inlineStr"/>
      <c r="E627" s="5" t="n">
        <v>70</v>
      </c>
      <c r="F627" s="5" t="n"/>
      <c r="G627" s="5">
        <f>G626+E627-F627</f>
        <v/>
      </c>
    </row>
    <row r="628">
      <c r="A628" s="3" t="inlineStr">
        <is>
          <t>02/12/2024</t>
        </is>
      </c>
      <c r="B628" s="3" t="inlineStr">
        <is>
          <t>1200 - Bank</t>
        </is>
      </c>
      <c r="C628" s="3" t="inlineStr">
        <is>
          <t>gary leckey gary</t>
        </is>
      </c>
      <c r="D628" s="3" t="inlineStr"/>
      <c r="E628" s="4" t="n"/>
      <c r="F628" s="4" t="n">
        <v>490</v>
      </c>
      <c r="G628" s="4">
        <f>G627+E628-F628</f>
        <v/>
      </c>
    </row>
    <row r="629">
      <c r="A629" t="inlineStr">
        <is>
          <t>03/12/2024</t>
        </is>
      </c>
      <c r="B629" t="inlineStr">
        <is>
          <t>1200 - Bank</t>
        </is>
      </c>
      <c r="C629" t="inlineStr">
        <is>
          <t>Fin: BP EUROSPAR SHANKILL R,BELFAST</t>
        </is>
      </c>
      <c r="D629" t="inlineStr"/>
      <c r="E629" s="5" t="n"/>
      <c r="F629" s="5" t="n">
        <v>15.04</v>
      </c>
      <c r="G629" s="5">
        <f>G628+E629-F629</f>
        <v/>
      </c>
    </row>
    <row r="630">
      <c r="A630" s="3" t="inlineStr">
        <is>
          <t>04/12/2024</t>
        </is>
      </c>
      <c r="B630" s="3" t="inlineStr">
        <is>
          <t>1200 - Bank</t>
        </is>
      </c>
      <c r="C630" s="3" t="inlineStr">
        <is>
          <t>Fin: E07047700000000,FALLS ROAD, ,BELFAS</t>
        </is>
      </c>
      <c r="D630" s="3" t="inlineStr"/>
      <c r="E630" s="4" t="n"/>
      <c r="F630" s="4" t="n">
        <v>500</v>
      </c>
      <c r="G630" s="4">
        <f>G629+E630-F630</f>
        <v/>
      </c>
    </row>
    <row r="631">
      <c r="A631" t="inlineStr">
        <is>
          <t>04/12/2024</t>
        </is>
      </c>
      <c r="B631" t="inlineStr">
        <is>
          <t>1200 - Bank</t>
        </is>
      </c>
      <c r="C631" t="inlineStr">
        <is>
          <t>Fin: GOOGLE*GSUITE RACONSUL,CC GOOGLE.CO</t>
        </is>
      </c>
      <c r="D631" t="inlineStr"/>
      <c r="E631" s="5" t="n"/>
      <c r="F631" s="5" t="n">
        <v>10</v>
      </c>
      <c r="G631" s="5">
        <f>G630+E631-F631</f>
        <v/>
      </c>
    </row>
    <row r="632">
      <c r="A632" s="3" t="inlineStr">
        <is>
          <t>06/12/2024</t>
        </is>
      </c>
      <c r="B632" s="3" t="inlineStr">
        <is>
          <t>1200 - Bank</t>
        </is>
      </c>
      <c r="C632" s="3" t="inlineStr">
        <is>
          <t>**** Cashback ****</t>
        </is>
      </c>
      <c r="D632" s="3" t="inlineStr"/>
      <c r="E632" s="4" t="n">
        <v>8.56</v>
      </c>
      <c r="F632" s="4" t="n"/>
      <c r="G632" s="4">
        <f>G631+E632-F632</f>
        <v/>
      </c>
    </row>
    <row r="633">
      <c r="A633" t="inlineStr">
        <is>
          <t>06/12/2024</t>
        </is>
      </c>
      <c r="B633" t="inlineStr">
        <is>
          <t>1200 - Bank</t>
        </is>
      </c>
      <c r="C633" t="inlineStr">
        <is>
          <t>CSR NI LTD THE CSR GROUP</t>
        </is>
      </c>
      <c r="D633" t="inlineStr"/>
      <c r="E633" s="5" t="n">
        <v>345</v>
      </c>
      <c r="F633" s="5" t="n"/>
      <c r="G633" s="5">
        <f>G632+E633-F633</f>
        <v/>
      </c>
    </row>
    <row r="634">
      <c r="A634" s="3" t="inlineStr">
        <is>
          <t>06/12/2024</t>
        </is>
      </c>
      <c r="B634" s="3" t="inlineStr">
        <is>
          <t>1200 - Bank</t>
        </is>
      </c>
      <c r="C634" s="3" t="inlineStr">
        <is>
          <t>CSR NI LTD THE CSR GROUP</t>
        </is>
      </c>
      <c r="D634" s="3" t="inlineStr"/>
      <c r="E634" s="4" t="n">
        <v>690</v>
      </c>
      <c r="F634" s="4" t="n"/>
      <c r="G634" s="4">
        <f>G633+E634-F634</f>
        <v/>
      </c>
    </row>
    <row r="635">
      <c r="A635" t="inlineStr">
        <is>
          <t>06/12/2024</t>
        </is>
      </c>
      <c r="B635" t="inlineStr">
        <is>
          <t>1200 - Bank</t>
        </is>
      </c>
      <c r="C635" t="inlineStr">
        <is>
          <t>G LECKEY 1006862278 gary le</t>
        </is>
      </c>
      <c r="D635" t="inlineStr"/>
      <c r="E635" s="5" t="n">
        <v>47</v>
      </c>
      <c r="F635" s="5" t="n"/>
      <c r="G635" s="5">
        <f>G634+E635-F635</f>
        <v/>
      </c>
    </row>
    <row r="636">
      <c r="A636" s="3" t="inlineStr">
        <is>
          <t>06/12/2024</t>
        </is>
      </c>
      <c r="B636" s="3" t="inlineStr">
        <is>
          <t>1200 - Bank</t>
        </is>
      </c>
      <c r="C636" s="3" t="inlineStr">
        <is>
          <t>HMRC VAT 469976605</t>
        </is>
      </c>
      <c r="D636" s="3" t="inlineStr"/>
      <c r="E636" s="4" t="n"/>
      <c r="F636" s="4" t="n">
        <v>50</v>
      </c>
      <c r="G636" s="4">
        <f>G635+E636-F636</f>
        <v/>
      </c>
    </row>
    <row r="637">
      <c r="A637" t="inlineStr">
        <is>
          <t>07/12/2024</t>
        </is>
      </c>
      <c r="B637" t="inlineStr">
        <is>
          <t>1200 - Bank</t>
        </is>
      </c>
      <c r="C637" t="inlineStr">
        <is>
          <t>BROWN T TINA</t>
        </is>
      </c>
      <c r="D637" t="inlineStr"/>
      <c r="E637" s="5" t="n">
        <v>600</v>
      </c>
      <c r="F637" s="5" t="n"/>
      <c r="G637" s="5">
        <f>G636+E637-F637</f>
        <v/>
      </c>
    </row>
    <row r="638">
      <c r="A638" s="3" t="inlineStr">
        <is>
          <t>07/12/2024</t>
        </is>
      </c>
      <c r="B638" s="3" t="inlineStr">
        <is>
          <t>1200 - Bank</t>
        </is>
      </c>
      <c r="C638" s="3" t="inlineStr">
        <is>
          <t>Fin: Argos,AVEBURY 489-499,MILTON KEYNE</t>
        </is>
      </c>
      <c r="D638" s="3" t="inlineStr"/>
      <c r="E638" s="4" t="n"/>
      <c r="F638" s="4" t="n">
        <v>599.98</v>
      </c>
      <c r="G638" s="4">
        <f>G637+E638-F638</f>
        <v/>
      </c>
    </row>
    <row r="639">
      <c r="A639" t="inlineStr">
        <is>
          <t>07/12/2024</t>
        </is>
      </c>
      <c r="B639" t="inlineStr">
        <is>
          <t>1200 - Bank</t>
        </is>
      </c>
      <c r="C639" t="inlineStr">
        <is>
          <t>Fin: ENUK0481,CRUMLIN ROAD,BELFAST</t>
        </is>
      </c>
      <c r="D639" t="inlineStr"/>
      <c r="E639" s="5" t="n"/>
      <c r="F639" s="5" t="n">
        <v>250</v>
      </c>
      <c r="G639" s="5">
        <f>G638+E639-F639</f>
        <v/>
      </c>
    </row>
    <row r="640">
      <c r="A640" s="3" t="inlineStr">
        <is>
          <t>07/12/2024</t>
        </is>
      </c>
      <c r="B640" s="3" t="inlineStr">
        <is>
          <t>1200 - Bank</t>
        </is>
      </c>
      <c r="C640" s="3" t="inlineStr">
        <is>
          <t>Fin: ENUK0481,CRUMLIN ROAD,BELFAST</t>
        </is>
      </c>
      <c r="D640" s="3" t="inlineStr"/>
      <c r="E640" s="4" t="n"/>
      <c r="F640" s="4" t="n">
        <v>250</v>
      </c>
      <c r="G640" s="4">
        <f>G639+E640-F640</f>
        <v/>
      </c>
    </row>
    <row r="641">
      <c r="A641" t="inlineStr">
        <is>
          <t>07/12/2024</t>
        </is>
      </c>
      <c r="B641" t="inlineStr">
        <is>
          <t>1200 - Bank</t>
        </is>
      </c>
      <c r="C641" t="inlineStr">
        <is>
          <t>Fin: Just Eat,Fleet Place House, 2,Londo</t>
        </is>
      </c>
      <c r="D641" t="inlineStr"/>
      <c r="E641" s="5" t="n"/>
      <c r="F641" s="5" t="n">
        <v>43.96</v>
      </c>
      <c r="G641" s="5">
        <f>G640+E641-F641</f>
        <v/>
      </c>
    </row>
    <row r="642">
      <c r="A642" s="3" t="inlineStr">
        <is>
          <t>07/12/2024</t>
        </is>
      </c>
      <c r="B642" s="3" t="inlineStr">
        <is>
          <t>1200 - Bank</t>
        </is>
      </c>
      <c r="C642" s="3" t="inlineStr">
        <is>
          <t>Fin: SP MIKO.AI,2035 Sunset Lake R,NEWAR 194.67 USD XR 1.268374</t>
        </is>
      </c>
      <c r="D642" s="3" t="inlineStr"/>
      <c r="E642" s="4" t="n"/>
      <c r="F642" s="4" t="n">
        <v>153.48</v>
      </c>
      <c r="G642" s="4">
        <f>G641+E642-F642</f>
        <v/>
      </c>
    </row>
    <row r="643">
      <c r="A643" t="inlineStr">
        <is>
          <t>07/12/2024</t>
        </is>
      </c>
      <c r="B643" t="inlineStr">
        <is>
          <t>1200 - Bank</t>
        </is>
      </c>
      <c r="C643" t="inlineStr">
        <is>
          <t>Sean scullion Sk</t>
        </is>
      </c>
      <c r="D643" t="inlineStr"/>
      <c r="E643" s="5" t="n"/>
      <c r="F643" s="5" t="n">
        <v>50</v>
      </c>
      <c r="G643" s="5">
        <f>G642+E643-F643</f>
        <v/>
      </c>
    </row>
    <row r="644">
      <c r="A644" s="3" t="inlineStr">
        <is>
          <t>07/12/2024</t>
        </is>
      </c>
      <c r="B644" s="3" t="inlineStr">
        <is>
          <t>1200 - Bank</t>
        </is>
      </c>
      <c r="C644" s="3" t="inlineStr">
        <is>
          <t>Sean scullion Sk</t>
        </is>
      </c>
      <c r="D644" s="3" t="inlineStr"/>
      <c r="E644" s="4" t="n"/>
      <c r="F644" s="4" t="n">
        <v>60</v>
      </c>
      <c r="G644" s="4">
        <f>G643+E644-F644</f>
        <v/>
      </c>
    </row>
    <row r="645">
      <c r="A645" t="inlineStr">
        <is>
          <t>07/12/2024</t>
        </is>
      </c>
      <c r="B645" t="inlineStr">
        <is>
          <t>1200 - Bank</t>
        </is>
      </c>
      <c r="C645" t="inlineStr">
        <is>
          <t>tina brown tina</t>
        </is>
      </c>
      <c r="D645" t="inlineStr"/>
      <c r="E645" s="5" t="n"/>
      <c r="F645" s="5" t="n">
        <v>150</v>
      </c>
      <c r="G645" s="5">
        <f>G644+E645-F645</f>
        <v/>
      </c>
    </row>
    <row r="646">
      <c r="A646" s="3" t="inlineStr">
        <is>
          <t>09/12/2024</t>
        </is>
      </c>
      <c r="B646" s="3" t="inlineStr">
        <is>
          <t>1200 - Bank</t>
        </is>
      </c>
      <c r="C646" s="3" t="inlineStr">
        <is>
          <t>Fin: CO-OP GROUP 140006,Old Park Road</t>
        </is>
      </c>
      <c r="D646" s="3" t="inlineStr"/>
      <c r="E646" s="4" t="n"/>
      <c r="F646" s="4" t="n">
        <v>14.35</v>
      </c>
      <c r="G646" s="4">
        <f>G645+E646-F646</f>
        <v/>
      </c>
    </row>
    <row r="647">
      <c r="A647" t="inlineStr">
        <is>
          <t>09/12/2024</t>
        </is>
      </c>
      <c r="B647" t="inlineStr">
        <is>
          <t>1200 - Bank</t>
        </is>
      </c>
      <c r="C647" t="inlineStr">
        <is>
          <t>Fin: CO-OP GROUP 140006,Old Park Road</t>
        </is>
      </c>
      <c r="D647" t="inlineStr"/>
      <c r="E647" s="5" t="n"/>
      <c r="F647" s="5" t="n">
        <v>44.74</v>
      </c>
      <c r="G647" s="5">
        <f>G646+E647-F647</f>
        <v/>
      </c>
    </row>
    <row r="648">
      <c r="A648" s="3" t="inlineStr">
        <is>
          <t>09/12/2024</t>
        </is>
      </c>
      <c r="B648" s="3" t="inlineStr">
        <is>
          <t>1200 - Bank</t>
        </is>
      </c>
      <c r="C648" s="3" t="inlineStr">
        <is>
          <t>Fin: WINEMARK,470 OLDPARK ROAD,BELFAST</t>
        </is>
      </c>
      <c r="D648" s="3" t="inlineStr"/>
      <c r="E648" s="4" t="n"/>
      <c r="F648" s="4" t="n">
        <v>22.08</v>
      </c>
      <c r="G648" s="4">
        <f>G647+E648-F648</f>
        <v/>
      </c>
    </row>
    <row r="649">
      <c r="A649" t="inlineStr">
        <is>
          <t>09/12/2024</t>
        </is>
      </c>
      <c r="B649" t="inlineStr">
        <is>
          <t>1200 - Bank</t>
        </is>
      </c>
      <c r="C649" t="inlineStr">
        <is>
          <t>G LECKEY 1006862278 gary le</t>
        </is>
      </c>
      <c r="D649" t="inlineStr"/>
      <c r="E649" s="5" t="n">
        <v>59</v>
      </c>
      <c r="F649" s="5" t="n"/>
      <c r="G649" s="5">
        <f>G648+E649-F649</f>
        <v/>
      </c>
    </row>
    <row r="650">
      <c r="A650" s="3" t="inlineStr">
        <is>
          <t>10/12/2024</t>
        </is>
      </c>
      <c r="B650" s="3" t="inlineStr">
        <is>
          <t>1200 - Bank</t>
        </is>
      </c>
      <c r="C650" s="3" t="inlineStr">
        <is>
          <t>Direct Debit Rejected Payment Fee</t>
        </is>
      </c>
      <c r="D650" s="3" t="inlineStr"/>
      <c r="E650" s="4" t="n"/>
      <c r="F650" s="4" t="n">
        <v>15</v>
      </c>
      <c r="G650" s="4">
        <f>G649+E650-F650</f>
        <v/>
      </c>
    </row>
    <row r="651">
      <c r="A651" t="inlineStr">
        <is>
          <t>11/12/2024</t>
        </is>
      </c>
      <c r="B651" t="inlineStr">
        <is>
          <t>1200 - Bank</t>
        </is>
      </c>
      <c r="C651" t="inlineStr">
        <is>
          <t>Fee: Card Management</t>
        </is>
      </c>
      <c r="D651" t="inlineStr"/>
      <c r="E651" s="5" t="n"/>
      <c r="F651" s="5" t="n">
        <v>9</v>
      </c>
      <c r="G651" s="5">
        <f>G650+E651-F651</f>
        <v/>
      </c>
    </row>
    <row r="652">
      <c r="A652" s="3" t="inlineStr">
        <is>
          <t>11/12/2024</t>
        </is>
      </c>
      <c r="B652" s="3" t="inlineStr">
        <is>
          <t>1200 - Bank</t>
        </is>
      </c>
      <c r="C652" s="3" t="inlineStr">
        <is>
          <t>Fin: BP EUROSPAR SHANKILL R,BELFAST</t>
        </is>
      </c>
      <c r="D652" s="3" t="inlineStr"/>
      <c r="E652" s="4" t="n"/>
      <c r="F652" s="4" t="n">
        <v>4.59</v>
      </c>
      <c r="G652" s="4">
        <f>G651+E652-F652</f>
        <v/>
      </c>
    </row>
    <row r="653">
      <c r="A653" t="inlineStr">
        <is>
          <t>11/12/2024</t>
        </is>
      </c>
      <c r="B653" t="inlineStr">
        <is>
          <t>1200 - Bank</t>
        </is>
      </c>
      <c r="C653" t="inlineStr">
        <is>
          <t>Fin: SCREWFIX DIR LTD,DUNCRU,BELFAST 189</t>
        </is>
      </c>
      <c r="D653" t="inlineStr"/>
      <c r="E653" s="5" t="n"/>
      <c r="F653" s="5" t="n">
        <v>19.99</v>
      </c>
      <c r="G653" s="5">
        <f>G652+E653-F653</f>
        <v/>
      </c>
    </row>
    <row r="654">
      <c r="A654" s="3" t="inlineStr">
        <is>
          <t>11/12/2024</t>
        </is>
      </c>
      <c r="B654" s="3" t="inlineStr">
        <is>
          <t>1200 - Bank</t>
        </is>
      </c>
      <c r="C654" s="3" t="inlineStr">
        <is>
          <t>Fin: Vivo,534-538 Falls Road,Belfast</t>
        </is>
      </c>
      <c r="D654" s="3" t="inlineStr"/>
      <c r="E654" s="4" t="n"/>
      <c r="F654" s="4" t="n">
        <v>0.2</v>
      </c>
      <c r="G654" s="4">
        <f>G653+E654-F654</f>
        <v/>
      </c>
    </row>
    <row r="655">
      <c r="A655" t="inlineStr">
        <is>
          <t>12/12/2024</t>
        </is>
      </c>
      <c r="B655" t="inlineStr">
        <is>
          <t>1200 - Bank</t>
        </is>
      </c>
      <c r="C655" t="inlineStr">
        <is>
          <t>BROWN T TINA</t>
        </is>
      </c>
      <c r="D655" t="inlineStr"/>
      <c r="E655" s="5" t="n">
        <v>30</v>
      </c>
      <c r="F655" s="5" t="n"/>
      <c r="G655" s="5">
        <f>G654+E655-F655</f>
        <v/>
      </c>
    </row>
    <row r="656">
      <c r="A656" s="3" t="inlineStr">
        <is>
          <t>12/12/2024</t>
        </is>
      </c>
      <c r="B656" s="3" t="inlineStr">
        <is>
          <t>1200 - Bank</t>
        </is>
      </c>
      <c r="C656" s="3" t="inlineStr">
        <is>
          <t>Fin: MCDONALDS 1674,BALLYGOMARTIN,BELFAS</t>
        </is>
      </c>
      <c r="D656" s="3" t="inlineStr"/>
      <c r="E656" s="4" t="n"/>
      <c r="F656" s="4" t="n">
        <v>14.25</v>
      </c>
      <c r="G656" s="4">
        <f>G655+E656-F656</f>
        <v/>
      </c>
    </row>
    <row r="657">
      <c r="A657" t="inlineStr">
        <is>
          <t>13/12/2024</t>
        </is>
      </c>
      <c r="B657" t="inlineStr">
        <is>
          <t>1200 - Bank</t>
        </is>
      </c>
      <c r="C657" t="inlineStr">
        <is>
          <t>CSR NI LTD THE CSR GROUP</t>
        </is>
      </c>
      <c r="D657" t="inlineStr"/>
      <c r="E657" s="5" t="n">
        <v>1170</v>
      </c>
      <c r="F657" s="5" t="n"/>
      <c r="G657" s="5">
        <f>G656+E657-F657</f>
        <v/>
      </c>
    </row>
    <row r="658">
      <c r="A658" s="3" t="inlineStr">
        <is>
          <t>13/12/2024</t>
        </is>
      </c>
      <c r="B658" s="3" t="inlineStr">
        <is>
          <t>1200 - Bank</t>
        </is>
      </c>
      <c r="C658" s="3" t="inlineStr">
        <is>
          <t>Caoimhin Mcguigan Ps5 games gumtree</t>
        </is>
      </c>
      <c r="D658" s="3" t="inlineStr"/>
      <c r="E658" s="4" t="n"/>
      <c r="F658" s="4" t="n">
        <v>450</v>
      </c>
      <c r="G658" s="4">
        <f>G657+E658-F658</f>
        <v/>
      </c>
    </row>
    <row r="659">
      <c r="A659" t="inlineStr">
        <is>
          <t>13/12/2024</t>
        </is>
      </c>
      <c r="B659" t="inlineStr">
        <is>
          <t>1200 - Bank</t>
        </is>
      </c>
      <c r="C659" t="inlineStr">
        <is>
          <t>Direct Debit Rejected Payment Fee</t>
        </is>
      </c>
      <c r="D659" t="inlineStr"/>
      <c r="E659" s="5" t="n"/>
      <c r="F659" s="5" t="n">
        <v>15</v>
      </c>
      <c r="G659" s="5">
        <f>G658+E659-F659</f>
        <v/>
      </c>
    </row>
    <row r="660">
      <c r="A660" s="3" t="inlineStr">
        <is>
          <t>13/12/2024</t>
        </is>
      </c>
      <c r="B660" s="3" t="inlineStr">
        <is>
          <t>1200 - Bank</t>
        </is>
      </c>
      <c r="C660" s="3" t="inlineStr">
        <is>
          <t>Paul ward Quest 3 gumtree</t>
        </is>
      </c>
      <c r="D660" s="3" t="inlineStr"/>
      <c r="E660" s="4" t="n"/>
      <c r="F660" s="4" t="n">
        <v>400</v>
      </c>
      <c r="G660" s="4">
        <f>G659+E660-F660</f>
        <v/>
      </c>
    </row>
    <row r="661">
      <c r="A661" t="inlineStr">
        <is>
          <t>14/12/2024</t>
        </is>
      </c>
      <c r="B661" t="inlineStr">
        <is>
          <t>1200 - Bank</t>
        </is>
      </c>
      <c r="C661" t="inlineStr">
        <is>
          <t>Fin: Domino s Pizza,1 THORN,MILTON KEYNE</t>
        </is>
      </c>
      <c r="D661" t="inlineStr"/>
      <c r="E661" s="5" t="n"/>
      <c r="F661" s="5" t="n">
        <v>33.67</v>
      </c>
      <c r="G661" s="5">
        <f>G660+E661-F661</f>
        <v/>
      </c>
    </row>
    <row r="662">
      <c r="A662" s="3" t="inlineStr">
        <is>
          <t>14/12/2024</t>
        </is>
      </c>
      <c r="B662" s="3" t="inlineStr">
        <is>
          <t>1200 - Bank</t>
        </is>
      </c>
      <c r="C662" s="3" t="inlineStr">
        <is>
          <t>Fin: MCDONALDS 1525,SHORE ROAD,BELFAST</t>
        </is>
      </c>
      <c r="D662" s="3" t="inlineStr"/>
      <c r="E662" s="4" t="n"/>
      <c r="F662" s="4" t="n">
        <v>17.35</v>
      </c>
      <c r="G662" s="4">
        <f>G661+E662-F662</f>
        <v/>
      </c>
    </row>
    <row r="663">
      <c r="A663" t="inlineStr">
        <is>
          <t>16/12/2024</t>
        </is>
      </c>
      <c r="B663" t="inlineStr">
        <is>
          <t>1200 - Bank</t>
        </is>
      </c>
      <c r="C663" t="inlineStr">
        <is>
          <t>Direct Debit Rejected Payment Fee</t>
        </is>
      </c>
      <c r="D663" t="inlineStr"/>
      <c r="E663" s="5" t="n"/>
      <c r="F663" s="5" t="n">
        <v>15</v>
      </c>
      <c r="G663" s="5">
        <f>G662+E663-F663</f>
        <v/>
      </c>
    </row>
    <row r="664">
      <c r="A664" s="3" t="inlineStr">
        <is>
          <t>16/12/2024</t>
        </is>
      </c>
      <c r="B664" s="3" t="inlineStr">
        <is>
          <t>1200 - Bank</t>
        </is>
      </c>
      <c r="C664" s="3" t="inlineStr">
        <is>
          <t>Fin: Just Eat,Fleet Place House, 2,Londo</t>
        </is>
      </c>
      <c r="D664" s="3" t="inlineStr"/>
      <c r="E664" s="4" t="n"/>
      <c r="F664" s="4" t="n">
        <v>23.49</v>
      </c>
      <c r="G664" s="4">
        <f>G663+E664-F664</f>
        <v/>
      </c>
    </row>
    <row r="665">
      <c r="A665" t="inlineStr">
        <is>
          <t>16/12/2024</t>
        </is>
      </c>
      <c r="B665" t="inlineStr">
        <is>
          <t>1200 - Bank</t>
        </is>
      </c>
      <c r="C665" t="inlineStr">
        <is>
          <t>Fin: LANDSCAPE FILLING STAT,BELFAST</t>
        </is>
      </c>
      <c r="D665" t="inlineStr"/>
      <c r="E665" s="5" t="n"/>
      <c r="F665" s="5" t="n">
        <v>15.6</v>
      </c>
      <c r="G665" s="5">
        <f>G664+E665-F665</f>
        <v/>
      </c>
    </row>
    <row r="666">
      <c r="A666" s="3" t="inlineStr">
        <is>
          <t>16/12/2024</t>
        </is>
      </c>
      <c r="B666" s="3" t="inlineStr">
        <is>
          <t>1200 - Bank</t>
        </is>
      </c>
      <c r="C666" s="3" t="inlineStr">
        <is>
          <t>Fin: LANDSCAPE FILLING STAT,BELFAST</t>
        </is>
      </c>
      <c r="D666" s="3" t="inlineStr"/>
      <c r="E666" s="4" t="n"/>
      <c r="F666" s="4" t="n">
        <v>59.5</v>
      </c>
      <c r="G666" s="4">
        <f>G665+E666-F666</f>
        <v/>
      </c>
    </row>
    <row r="667">
      <c r="A667" t="inlineStr">
        <is>
          <t>16/12/2024</t>
        </is>
      </c>
      <c r="B667" t="inlineStr">
        <is>
          <t>1200 - Bank</t>
        </is>
      </c>
      <c r="C667" t="inlineStr">
        <is>
          <t>Fin: MAXOL EDENDERRY SSTN,298 CRU,BELFAS</t>
        </is>
      </c>
      <c r="D667" t="inlineStr"/>
      <c r="E667" s="5" t="n"/>
      <c r="F667" s="5" t="n">
        <v>20</v>
      </c>
      <c r="G667" s="5">
        <f>G666+E667-F667</f>
        <v/>
      </c>
    </row>
    <row r="668">
      <c r="A668" s="3" t="inlineStr">
        <is>
          <t>16/12/2024</t>
        </is>
      </c>
      <c r="B668" s="3" t="inlineStr">
        <is>
          <t>1200 - Bank</t>
        </is>
      </c>
      <c r="C668" s="3" t="inlineStr">
        <is>
          <t>Fin: NEW LOOK -NEWTOWNABBEY,COUNTY ANTRI</t>
        </is>
      </c>
      <c r="D668" s="3" t="inlineStr"/>
      <c r="E668" s="4" t="n"/>
      <c r="F668" s="4" t="n">
        <v>58.96</v>
      </c>
      <c r="G668" s="4">
        <f>G667+E668-F668</f>
        <v/>
      </c>
    </row>
    <row r="669">
      <c r="A669" t="inlineStr">
        <is>
          <t>16/12/2024</t>
        </is>
      </c>
      <c r="B669" t="inlineStr">
        <is>
          <t>1200 - Bank</t>
        </is>
      </c>
      <c r="C669" t="inlineStr">
        <is>
          <t>Fin: PARKGATE FARM COUNTRY,37A BAL,ANTRI</t>
        </is>
      </c>
      <c r="D669" t="inlineStr"/>
      <c r="E669" s="5" t="n"/>
      <c r="F669" s="5" t="n">
        <v>10</v>
      </c>
      <c r="G669" s="5">
        <f>G668+E669-F669</f>
        <v/>
      </c>
    </row>
    <row r="670">
      <c r="A670" s="3" t="inlineStr">
        <is>
          <t>16/12/2024</t>
        </is>
      </c>
      <c r="B670" s="3" t="inlineStr">
        <is>
          <t>1200 - Bank</t>
        </is>
      </c>
      <c r="C670" s="3" t="inlineStr">
        <is>
          <t>Fin: That Prize Guy Ltd,Enterprise,Bango</t>
        </is>
      </c>
      <c r="D670" s="3" t="inlineStr"/>
      <c r="E670" s="4" t="n"/>
      <c r="F670" s="4" t="n">
        <v>1.86</v>
      </c>
      <c r="G670" s="4">
        <f>G669+E670-F670</f>
        <v/>
      </c>
    </row>
    <row r="671">
      <c r="A671" t="inlineStr">
        <is>
          <t>16/12/2024</t>
        </is>
      </c>
      <c r="B671" t="inlineStr">
        <is>
          <t>1200 - Bank</t>
        </is>
      </c>
      <c r="C671" t="inlineStr">
        <is>
          <t>Fin: That Prize Guy Ltd,Enterprise,Bango</t>
        </is>
      </c>
      <c r="D671" t="inlineStr"/>
      <c r="E671" s="5" t="n"/>
      <c r="F671" s="5" t="n">
        <v>34.71</v>
      </c>
      <c r="G671" s="5">
        <f>G670+E671-F671</f>
        <v/>
      </c>
    </row>
    <row r="672">
      <c r="A672" s="3" t="inlineStr">
        <is>
          <t>17/12/2024</t>
        </is>
      </c>
      <c r="B672" s="3" t="inlineStr">
        <is>
          <t>1200 - Bank</t>
        </is>
      </c>
      <c r="C672" s="3" t="inlineStr">
        <is>
          <t>Fin: INVIDEO INNOVATION,3 CHURC,SINGAPOR 35 USD XR 1.260353</t>
        </is>
      </c>
      <c r="D672" s="3" t="inlineStr"/>
      <c r="E672" s="4" t="n"/>
      <c r="F672" s="4" t="n">
        <v>27.77</v>
      </c>
      <c r="G672" s="4">
        <f>G671+E672-F672</f>
        <v/>
      </c>
    </row>
    <row r="673">
      <c r="A673" t="inlineStr">
        <is>
          <t>19/12/2024</t>
        </is>
      </c>
      <c r="B673" t="inlineStr">
        <is>
          <t>1200 - Bank</t>
        </is>
      </c>
      <c r="C673" t="inlineStr">
        <is>
          <t>Fin: Wix.com 1151721983,Tower Brid,Londo</t>
        </is>
      </c>
      <c r="D673" t="inlineStr"/>
      <c r="E673" s="5" t="n"/>
      <c r="F673" s="5" t="n">
        <v>34.8</v>
      </c>
      <c r="G673" s="5">
        <f>G672+E673-F673</f>
        <v/>
      </c>
    </row>
    <row r="674">
      <c r="A674" s="3" t="inlineStr">
        <is>
          <t>20/12/2024</t>
        </is>
      </c>
      <c r="B674" s="3" t="inlineStr">
        <is>
          <t>1200 - Bank</t>
        </is>
      </c>
      <c r="C674" s="3" t="inlineStr">
        <is>
          <t>AMC CONSTRUCTION (NI) LTD INV 024</t>
        </is>
      </c>
      <c r="D674" s="3" t="inlineStr"/>
      <c r="E674" s="4" t="n">
        <v>9163</v>
      </c>
      <c r="F674" s="4" t="n"/>
      <c r="G674" s="4">
        <f>G673+E674-F674</f>
        <v/>
      </c>
    </row>
    <row r="675">
      <c r="A675" t="inlineStr">
        <is>
          <t>20/12/2024</t>
        </is>
      </c>
      <c r="B675" t="inlineStr">
        <is>
          <t>1200 - Bank</t>
        </is>
      </c>
      <c r="C675" t="inlineStr">
        <is>
          <t>Brendan dillon the big boss man</t>
        </is>
      </c>
      <c r="D675" t="inlineStr"/>
      <c r="E675" s="5" t="n"/>
      <c r="F675" s="5" t="n">
        <v>320</v>
      </c>
      <c r="G675" s="5">
        <f>G674+E675-F675</f>
        <v/>
      </c>
    </row>
    <row r="676">
      <c r="A676" s="3" t="inlineStr">
        <is>
          <t>20/12/2024</t>
        </is>
      </c>
      <c r="B676" s="3" t="inlineStr">
        <is>
          <t>1200 - Bank</t>
        </is>
      </c>
      <c r="C676" s="3" t="inlineStr">
        <is>
          <t>CSR NI LTD THE CSR GROUP</t>
        </is>
      </c>
      <c r="D676" s="3" t="inlineStr"/>
      <c r="E676" s="4" t="n">
        <v>960</v>
      </c>
      <c r="F676" s="4" t="n"/>
      <c r="G676" s="4">
        <f>G675+E676-F676</f>
        <v/>
      </c>
    </row>
    <row r="677">
      <c r="A677" t="inlineStr">
        <is>
          <t>20/12/2024</t>
        </is>
      </c>
      <c r="B677" t="inlineStr">
        <is>
          <t>1200 - Bank</t>
        </is>
      </c>
      <c r="C677" t="inlineStr">
        <is>
          <t>Carson McAdams Gimtee</t>
        </is>
      </c>
      <c r="D677" t="inlineStr"/>
      <c r="E677" s="5" t="n"/>
      <c r="F677" s="5" t="n">
        <v>360</v>
      </c>
      <c r="G677" s="5">
        <f>G676+E677-F677</f>
        <v/>
      </c>
    </row>
    <row r="678">
      <c r="A678" s="3" t="inlineStr">
        <is>
          <t>20/12/2024</t>
        </is>
      </c>
      <c r="B678" s="3" t="inlineStr">
        <is>
          <t>1200 - Bank</t>
        </is>
      </c>
      <c r="C678" s="3" t="inlineStr">
        <is>
          <t>Gavin mcguinness Make up set</t>
        </is>
      </c>
      <c r="D678" s="3" t="inlineStr"/>
      <c r="E678" s="4" t="n"/>
      <c r="F678" s="4" t="n">
        <v>180</v>
      </c>
      <c r="G678" s="4">
        <f>G677+E678-F678</f>
        <v/>
      </c>
    </row>
    <row r="679">
      <c r="A679" t="inlineStr">
        <is>
          <t>20/12/2024</t>
        </is>
      </c>
      <c r="B679" t="inlineStr">
        <is>
          <t>1200 - Bank</t>
        </is>
      </c>
      <c r="C679" t="inlineStr">
        <is>
          <t>Martin mcelkerney 50inch tv gumtree</t>
        </is>
      </c>
      <c r="D679" t="inlineStr"/>
      <c r="E679" s="5" t="n"/>
      <c r="F679" s="5" t="n">
        <v>420</v>
      </c>
      <c r="G679" s="5">
        <f>G678+E679-F679</f>
        <v/>
      </c>
    </row>
    <row r="680">
      <c r="A680" s="3" t="inlineStr">
        <is>
          <t>20/12/2024</t>
        </is>
      </c>
      <c r="B680" s="3" t="inlineStr">
        <is>
          <t>1200 - Bank</t>
        </is>
      </c>
      <c r="C680" s="3" t="inlineStr">
        <is>
          <t>Paul ward p lousie gift set</t>
        </is>
      </c>
      <c r="D680" s="3" t="inlineStr"/>
      <c r="E680" s="4" t="n"/>
      <c r="F680" s="4" t="n">
        <v>360</v>
      </c>
      <c r="G680" s="4">
        <f>G679+E680-F680</f>
        <v/>
      </c>
    </row>
    <row r="681">
      <c r="A681" t="inlineStr">
        <is>
          <t>20/12/2024</t>
        </is>
      </c>
      <c r="B681" t="inlineStr">
        <is>
          <t>1200 - Bank</t>
        </is>
      </c>
      <c r="C681" t="inlineStr">
        <is>
          <t>Sean paul mooney Tredmaill facebook</t>
        </is>
      </c>
      <c r="D681" t="inlineStr"/>
      <c r="E681" s="5" t="n"/>
      <c r="F681" s="5" t="n">
        <v>450</v>
      </c>
      <c r="G681" s="5">
        <f>G680+E681-F681</f>
        <v/>
      </c>
    </row>
    <row r="682">
      <c r="A682" s="3" t="inlineStr">
        <is>
          <t>20/12/2024</t>
        </is>
      </c>
      <c r="B682" s="3" t="inlineStr">
        <is>
          <t>1200 - Bank</t>
        </is>
      </c>
      <c r="C682" s="3" t="inlineStr">
        <is>
          <t>gary leckey gary</t>
        </is>
      </c>
      <c r="D682" s="3" t="inlineStr"/>
      <c r="E682" s="4" t="n"/>
      <c r="F682" s="4" t="n">
        <v>100</v>
      </c>
      <c r="G682" s="4">
        <f>G681+E682-F682</f>
        <v/>
      </c>
    </row>
    <row r="683">
      <c r="A683" t="inlineStr">
        <is>
          <t>20/12/2024</t>
        </is>
      </c>
      <c r="B683" t="inlineStr">
        <is>
          <t>1200 - Bank</t>
        </is>
      </c>
      <c r="C683" t="inlineStr">
        <is>
          <t>gary leckey gary</t>
        </is>
      </c>
      <c r="D683" t="inlineStr"/>
      <c r="E683" s="5" t="n"/>
      <c r="F683" s="5" t="n">
        <v>500</v>
      </c>
      <c r="G683" s="5">
        <f>G682+E683-F683</f>
        <v/>
      </c>
    </row>
    <row r="684">
      <c r="A684" s="3" t="inlineStr">
        <is>
          <t>21/12/2024</t>
        </is>
      </c>
      <c r="B684" s="3" t="inlineStr">
        <is>
          <t>1200 - Bank</t>
        </is>
      </c>
      <c r="C684" s="3" t="inlineStr">
        <is>
          <t>Fin: Hobbycraft,Unit 17B Boucher ,Belfas</t>
        </is>
      </c>
      <c r="D684" s="3" t="inlineStr"/>
      <c r="E684" s="4" t="n"/>
      <c r="F684" s="4" t="n">
        <v>118</v>
      </c>
      <c r="G684" s="4">
        <f>G683+E684-F684</f>
        <v/>
      </c>
    </row>
    <row r="685">
      <c r="A685" t="inlineStr">
        <is>
          <t>21/12/2024</t>
        </is>
      </c>
      <c r="B685" t="inlineStr">
        <is>
          <t>1200 - Bank</t>
        </is>
      </c>
      <c r="C685" t="inlineStr">
        <is>
          <t>Fin: MCDONALDS 1674,BALLYGOMARTIN,BELFAS</t>
        </is>
      </c>
      <c r="D685" t="inlineStr"/>
      <c r="E685" s="5" t="n"/>
      <c r="F685" s="5" t="n">
        <v>23.21</v>
      </c>
      <c r="G685" s="5">
        <f>G684+E685-F685</f>
        <v/>
      </c>
    </row>
    <row r="686">
      <c r="A686" s="3" t="inlineStr">
        <is>
          <t>21/12/2024</t>
        </is>
      </c>
      <c r="B686" s="3" t="inlineStr">
        <is>
          <t>1200 - Bank</t>
        </is>
      </c>
      <c r="C686" s="3" t="inlineStr">
        <is>
          <t>Fin: Pandora Jewellery UK L,Belfast</t>
        </is>
      </c>
      <c r="D686" s="3" t="inlineStr"/>
      <c r="E686" s="4" t="n"/>
      <c r="F686" s="4" t="n">
        <v>195</v>
      </c>
      <c r="G686" s="4">
        <f>G685+E686-F686</f>
        <v/>
      </c>
    </row>
    <row r="687">
      <c r="A687" t="inlineStr">
        <is>
          <t>21/12/2024</t>
        </is>
      </c>
      <c r="B687" t="inlineStr">
        <is>
          <t>1200 - Bank</t>
        </is>
      </c>
      <c r="C687" t="inlineStr">
        <is>
          <t>Fin: Schuh Belfast,Unit 1A Castle,Belfas</t>
        </is>
      </c>
      <c r="D687" t="inlineStr"/>
      <c r="E687" s="5" t="n"/>
      <c r="F687" s="5" t="n">
        <v>40</v>
      </c>
      <c r="G687" s="5">
        <f>G686+E687-F687</f>
        <v/>
      </c>
    </row>
    <row r="688">
      <c r="A688" s="3" t="inlineStr">
        <is>
          <t>21/12/2024</t>
        </is>
      </c>
      <c r="B688" s="3" t="inlineStr">
        <is>
          <t>1200 - Bank</t>
        </is>
      </c>
      <c r="C688" s="3" t="inlineStr">
        <is>
          <t>Fin: TFS Belfast,18A Castle Lane,Belfast</t>
        </is>
      </c>
      <c r="D688" s="3" t="inlineStr"/>
      <c r="E688" s="4" t="n"/>
      <c r="F688" s="4" t="n">
        <v>69</v>
      </c>
      <c r="G688" s="4">
        <f>G687+E688-F688</f>
        <v/>
      </c>
    </row>
    <row r="689">
      <c r="A689" t="inlineStr">
        <is>
          <t>21/12/2024</t>
        </is>
      </c>
      <c r="B689" t="inlineStr">
        <is>
          <t>1200 - Bank</t>
        </is>
      </c>
      <c r="C689" t="inlineStr">
        <is>
          <t>Keelan hagans Tap</t>
        </is>
      </c>
      <c r="D689" t="inlineStr"/>
      <c r="E689" s="5" t="n"/>
      <c r="F689" s="5" t="n">
        <v>30</v>
      </c>
      <c r="G689" s="5">
        <f>G688+E689-F689</f>
        <v/>
      </c>
    </row>
    <row r="690">
      <c r="A690" s="3" t="inlineStr">
        <is>
          <t>21/12/2024</t>
        </is>
      </c>
      <c r="B690" s="3" t="inlineStr">
        <is>
          <t>1200 - Bank</t>
        </is>
      </c>
      <c r="C690" s="3" t="inlineStr">
        <is>
          <t>Keelan hagans Tap</t>
        </is>
      </c>
      <c r="D690" s="3" t="inlineStr"/>
      <c r="E690" s="4" t="n"/>
      <c r="F690" s="4" t="n">
        <v>40</v>
      </c>
      <c r="G690" s="4">
        <f>G689+E690-F690</f>
        <v/>
      </c>
    </row>
    <row r="691">
      <c r="A691" t="inlineStr">
        <is>
          <t>21/12/2024</t>
        </is>
      </c>
      <c r="B691" t="inlineStr">
        <is>
          <t>1200 - Bank</t>
        </is>
      </c>
      <c r="C691" t="inlineStr">
        <is>
          <t>gary leckey gary</t>
        </is>
      </c>
      <c r="D691" t="inlineStr"/>
      <c r="E691" s="5" t="n"/>
      <c r="F691" s="5" t="n">
        <v>500</v>
      </c>
      <c r="G691" s="5">
        <f>G690+E691-F691</f>
        <v/>
      </c>
    </row>
    <row r="692">
      <c r="A692" s="3" t="inlineStr">
        <is>
          <t>21/12/2024</t>
        </is>
      </c>
      <c r="B692" s="3" t="inlineStr">
        <is>
          <t>1200 - Bank</t>
        </is>
      </c>
      <c r="C692" s="3" t="inlineStr">
        <is>
          <t>tina brown tina</t>
        </is>
      </c>
      <c r="D692" s="3" t="inlineStr"/>
      <c r="E692" s="4" t="n"/>
      <c r="F692" s="4" t="n">
        <v>500</v>
      </c>
      <c r="G692" s="4">
        <f>G691+E692-F692</f>
        <v/>
      </c>
    </row>
    <row r="693">
      <c r="A693" t="inlineStr">
        <is>
          <t>22/12/2024</t>
        </is>
      </c>
      <c r="B693" t="inlineStr">
        <is>
          <t>1200 - Bank</t>
        </is>
      </c>
      <c r="C693" t="inlineStr">
        <is>
          <t>gary leckey gary</t>
        </is>
      </c>
      <c r="D693" t="inlineStr"/>
      <c r="E693" s="5" t="n"/>
      <c r="F693" s="5" t="n">
        <v>640</v>
      </c>
      <c r="G693" s="5">
        <f>G692+E693-F693</f>
        <v/>
      </c>
    </row>
    <row r="694">
      <c r="A694" s="3" t="inlineStr">
        <is>
          <t>23/12/2024</t>
        </is>
      </c>
      <c r="B694" s="3" t="inlineStr">
        <is>
          <t>1200 - Bank</t>
        </is>
      </c>
      <c r="C694" s="3" t="inlineStr">
        <is>
          <t>BROWN T TINA</t>
        </is>
      </c>
      <c r="D694" s="3" t="inlineStr"/>
      <c r="E694" s="4" t="n">
        <v>430</v>
      </c>
      <c r="F694" s="4" t="n"/>
      <c r="G694" s="4">
        <f>G693+E694-F694</f>
        <v/>
      </c>
    </row>
    <row r="695">
      <c r="A695" t="inlineStr">
        <is>
          <t>23/12/2024</t>
        </is>
      </c>
      <c r="B695" t="inlineStr">
        <is>
          <t>1200 - Bank</t>
        </is>
      </c>
      <c r="C695" t="inlineStr">
        <is>
          <t>Fin: ASDA STORES LTD 4337,UNIT 7,BELFAS</t>
        </is>
      </c>
      <c r="D695" t="inlineStr"/>
      <c r="E695" s="5" t="n"/>
      <c r="F695" s="5" t="n">
        <v>16</v>
      </c>
      <c r="G695" s="5">
        <f>G694+E695-F695</f>
        <v/>
      </c>
    </row>
    <row r="696">
      <c r="A696" s="3" t="inlineStr">
        <is>
          <t>23/12/2024</t>
        </is>
      </c>
      <c r="B696" s="3" t="inlineStr">
        <is>
          <t>1200 - Bank</t>
        </is>
      </c>
      <c r="C696" s="3" t="inlineStr">
        <is>
          <t>Fin: ASDA STORES LTD 4337,UNIT 7,BELFAS</t>
        </is>
      </c>
      <c r="D696" s="3" t="inlineStr"/>
      <c r="E696" s="4" t="n"/>
      <c r="F696" s="4" t="n">
        <v>63.95</v>
      </c>
      <c r="G696" s="4">
        <f>G695+E696-F696</f>
        <v/>
      </c>
    </row>
    <row r="697">
      <c r="A697" t="inlineStr">
        <is>
          <t>23/12/2024</t>
        </is>
      </c>
      <c r="B697" t="inlineStr">
        <is>
          <t>1200 - Bank</t>
        </is>
      </c>
      <c r="C697" t="inlineStr">
        <is>
          <t>Fin: BOOTS 0633,35-47 DONEGALL PL,BELFAS</t>
        </is>
      </c>
      <c r="D697" t="inlineStr"/>
      <c r="E697" s="5" t="n"/>
      <c r="F697" s="5" t="n">
        <v>190</v>
      </c>
      <c r="G697" s="5">
        <f>G696+E697-F697</f>
        <v/>
      </c>
    </row>
    <row r="698">
      <c r="A698" s="3" t="inlineStr">
        <is>
          <t>23/12/2024</t>
        </is>
      </c>
      <c r="B698" s="3" t="inlineStr">
        <is>
          <t>1200 - Bank</t>
        </is>
      </c>
      <c r="C698" s="3" t="inlineStr">
        <is>
          <t>Fin: CASTLE COURT,Royal Avenue,Belfast</t>
        </is>
      </c>
      <c r="D698" s="3" t="inlineStr"/>
      <c r="E698" s="4" t="n"/>
      <c r="F698" s="4" t="n">
        <v>4.5</v>
      </c>
      <c r="G698" s="4">
        <f>G697+E698-F698</f>
        <v/>
      </c>
    </row>
    <row r="699">
      <c r="A699" t="inlineStr">
        <is>
          <t>23/12/2024</t>
        </is>
      </c>
      <c r="B699" t="inlineStr">
        <is>
          <t>1200 - Bank</t>
        </is>
      </c>
      <c r="C699" t="inlineStr">
        <is>
          <t>Fin: DISTRICT 45 RESTAURANT,MAGHERAFELT</t>
        </is>
      </c>
      <c r="D699" t="inlineStr"/>
      <c r="E699" s="5" t="n"/>
      <c r="F699" s="5" t="n">
        <v>69.40000000000001</v>
      </c>
      <c r="G699" s="5">
        <f>G698+E699-F699</f>
        <v/>
      </c>
    </row>
    <row r="700">
      <c r="A700" s="3" t="inlineStr">
        <is>
          <t>23/12/2024</t>
        </is>
      </c>
      <c r="B700" s="3" t="inlineStr">
        <is>
          <t>1200 - Bank</t>
        </is>
      </c>
      <c r="C700" s="3" t="inlineStr">
        <is>
          <t>Fin: E07047700000000,FALLS ROAD, ,BELFAS</t>
        </is>
      </c>
      <c r="D700" s="3" t="inlineStr"/>
      <c r="E700" s="4" t="n"/>
      <c r="F700" s="4" t="n">
        <v>500</v>
      </c>
      <c r="G700" s="4">
        <f>G699+E700-F700</f>
        <v/>
      </c>
    </row>
    <row r="701">
      <c r="A701" t="inlineStr">
        <is>
          <t>23/12/2024</t>
        </is>
      </c>
      <c r="B701" t="inlineStr">
        <is>
          <t>1200 - Bank</t>
        </is>
      </c>
      <c r="C701" t="inlineStr">
        <is>
          <t>Fin: E07047700000000,FALLS ROAD, ,BELFAS</t>
        </is>
      </c>
      <c r="D701" t="inlineStr"/>
      <c r="E701" s="5" t="n"/>
      <c r="F701" s="5" t="n">
        <v>500</v>
      </c>
      <c r="G701" s="5">
        <f>G700+E701-F701</f>
        <v/>
      </c>
    </row>
    <row r="702">
      <c r="A702" s="3" t="inlineStr">
        <is>
          <t>23/12/2024</t>
        </is>
      </c>
      <c r="B702" s="3" t="inlineStr">
        <is>
          <t>1200 - Bank</t>
        </is>
      </c>
      <c r="C702" s="3" t="inlineStr">
        <is>
          <t>Fin: ICELAND,UNIT 1,CASTLE ST</t>
        </is>
      </c>
      <c r="D702" s="3" t="inlineStr"/>
      <c r="E702" s="4" t="n"/>
      <c r="F702" s="4" t="n">
        <v>5</v>
      </c>
      <c r="G702" s="4">
        <f>G701+E702-F702</f>
        <v/>
      </c>
    </row>
    <row r="703">
      <c r="A703" t="inlineStr">
        <is>
          <t>23/12/2024</t>
        </is>
      </c>
      <c r="B703" t="inlineStr">
        <is>
          <t>1200 - Bank</t>
        </is>
      </c>
      <c r="C703" t="inlineStr">
        <is>
          <t>Fin: NEW LOOK 1935,UNIT 5 CITY RE,BELFAS</t>
        </is>
      </c>
      <c r="D703" t="inlineStr"/>
      <c r="E703" s="5" t="n"/>
      <c r="F703" s="5" t="n">
        <v>88.48</v>
      </c>
      <c r="G703" s="5">
        <f>G702+E703-F703</f>
        <v/>
      </c>
    </row>
    <row r="704">
      <c r="A704" s="3" t="inlineStr">
        <is>
          <t>23/12/2024</t>
        </is>
      </c>
      <c r="B704" s="3" t="inlineStr">
        <is>
          <t>1200 - Bank</t>
        </is>
      </c>
      <c r="C704" s="3" t="inlineStr">
        <is>
          <t>Fin: SMYTHS TOYS BOUCHER RD,BELFAST</t>
        </is>
      </c>
      <c r="D704" s="3" t="inlineStr"/>
      <c r="E704" s="4" t="n"/>
      <c r="F704" s="4" t="n">
        <v>50</v>
      </c>
      <c r="G704" s="4">
        <f>G703+E704-F704</f>
        <v/>
      </c>
    </row>
    <row r="705">
      <c r="A705" t="inlineStr">
        <is>
          <t>23/12/2024</t>
        </is>
      </c>
      <c r="B705" t="inlineStr">
        <is>
          <t>1200 - Bank</t>
        </is>
      </c>
      <c r="C705" t="inlineStr">
        <is>
          <t>Fin: SMYTHS TOYS BOUCHER RD,BELFAST</t>
        </is>
      </c>
      <c r="D705" t="inlineStr"/>
      <c r="E705" s="5" t="n"/>
      <c r="F705" s="5" t="n">
        <v>54.99</v>
      </c>
      <c r="G705" s="5">
        <f>G704+E705-F705</f>
        <v/>
      </c>
    </row>
    <row r="706">
      <c r="A706" s="3" t="inlineStr">
        <is>
          <t>23/12/2024</t>
        </is>
      </c>
      <c r="B706" s="3" t="inlineStr">
        <is>
          <t>1200 - Bank</t>
        </is>
      </c>
      <c r="C706" s="3" t="inlineStr">
        <is>
          <t>Fin: SMYTHS TOYS BOUCHER RD,BELFAST</t>
        </is>
      </c>
      <c r="D706" s="3" t="inlineStr"/>
      <c r="E706" s="4" t="n"/>
      <c r="F706" s="4" t="n">
        <v>742.54</v>
      </c>
      <c r="G706" s="4">
        <f>G705+E706-F706</f>
        <v/>
      </c>
    </row>
    <row r="707">
      <c r="A707" t="inlineStr">
        <is>
          <t>23/12/2024</t>
        </is>
      </c>
      <c r="B707" t="inlineStr">
        <is>
          <t>1200 - Bank</t>
        </is>
      </c>
      <c r="C707" t="inlineStr">
        <is>
          <t>Fin: SumUp *T&amp;S wholesale,Newtownabbey</t>
        </is>
      </c>
      <c r="D707" t="inlineStr"/>
      <c r="E707" s="5" t="n"/>
      <c r="F707" s="5" t="n">
        <v>30</v>
      </c>
      <c r="G707" s="5">
        <f>G706+E707-F707</f>
        <v/>
      </c>
    </row>
    <row r="708">
      <c r="A708" s="3" t="inlineStr">
        <is>
          <t>23/12/2024</t>
        </is>
      </c>
      <c r="B708" s="3" t="inlineStr">
        <is>
          <t>1200 - Bank</t>
        </is>
      </c>
      <c r="C708" s="3" t="inlineStr">
        <is>
          <t>Fin: THE NAME SHOPS,Castlecourt S,Belfas</t>
        </is>
      </c>
      <c r="D708" s="3" t="inlineStr"/>
      <c r="E708" s="4" t="n"/>
      <c r="F708" s="4" t="n">
        <v>66</v>
      </c>
      <c r="G708" s="4">
        <f>G707+E708-F708</f>
        <v/>
      </c>
    </row>
    <row r="709">
      <c r="A709" t="inlineStr">
        <is>
          <t>23/12/2024</t>
        </is>
      </c>
      <c r="B709" t="inlineStr">
        <is>
          <t>1200 - Bank</t>
        </is>
      </c>
      <c r="C709" t="inlineStr">
        <is>
          <t>Fin: THE PERFUME SHOP,UNIT 12,BELFAST</t>
        </is>
      </c>
      <c r="D709" t="inlineStr"/>
      <c r="E709" s="5" t="n"/>
      <c r="F709" s="5" t="n">
        <v>85</v>
      </c>
      <c r="G709" s="5">
        <f>G708+E709-F709</f>
        <v/>
      </c>
    </row>
    <row r="710">
      <c r="A710" s="3" t="inlineStr">
        <is>
          <t>23/12/2024</t>
        </is>
      </c>
      <c r="B710" s="3" t="inlineStr">
        <is>
          <t>1200 - Bank</t>
        </is>
      </c>
      <c r="C710" s="3" t="inlineStr">
        <is>
          <t>Fin: The Jungle NI,60 Desertm,Magherafel</t>
        </is>
      </c>
      <c r="D710" s="3" t="inlineStr"/>
      <c r="E710" s="4" t="n"/>
      <c r="F710" s="4" t="n">
        <v>15</v>
      </c>
      <c r="G710" s="4">
        <f>G709+E710-F710</f>
        <v/>
      </c>
    </row>
    <row r="711">
      <c r="A711" t="inlineStr">
        <is>
          <t>23/12/2024</t>
        </is>
      </c>
      <c r="B711" t="inlineStr">
        <is>
          <t>1200 - Bank</t>
        </is>
      </c>
      <c r="C711" t="inlineStr">
        <is>
          <t>Fin: The Jungle NI,60 Desertm,Magherafel</t>
        </is>
      </c>
      <c r="D711" t="inlineStr"/>
      <c r="E711" s="5" t="n"/>
      <c r="F711" s="5" t="n">
        <v>5.8</v>
      </c>
      <c r="G711" s="5">
        <f>G710+E711-F711</f>
        <v/>
      </c>
    </row>
    <row r="712">
      <c r="A712" s="3" t="inlineStr">
        <is>
          <t>23/12/2024</t>
        </is>
      </c>
      <c r="B712" s="3" t="inlineStr">
        <is>
          <t>1200 - Bank</t>
        </is>
      </c>
      <c r="C712" s="3" t="inlineStr">
        <is>
          <t>Fin: The Jungle NI,60 Desertm,Magherafel</t>
        </is>
      </c>
      <c r="D712" s="3" t="inlineStr"/>
      <c r="E712" s="4" t="n"/>
      <c r="F712" s="4" t="n">
        <v>6.6</v>
      </c>
      <c r="G712" s="4">
        <f>G711+E712-F712</f>
        <v/>
      </c>
    </row>
    <row r="713">
      <c r="A713" t="inlineStr">
        <is>
          <t>23/12/2024</t>
        </is>
      </c>
      <c r="B713" t="inlineStr">
        <is>
          <t>1200 - Bank</t>
        </is>
      </c>
      <c r="C713" t="inlineStr">
        <is>
          <t>Fin: WINEMARK,470 OLDPARK ROAD,BELFAST</t>
        </is>
      </c>
      <c r="D713" t="inlineStr"/>
      <c r="E713" s="5" t="n"/>
      <c r="F713" s="5" t="n">
        <v>14</v>
      </c>
      <c r="G713" s="5">
        <f>G712+E713-F713</f>
        <v/>
      </c>
    </row>
    <row r="714">
      <c r="A714" s="3" t="inlineStr">
        <is>
          <t>23/12/2024</t>
        </is>
      </c>
      <c r="B714" s="3" t="inlineStr">
        <is>
          <t>1200 - Bank</t>
        </is>
      </c>
      <c r="C714" s="3" t="inlineStr">
        <is>
          <t>gary leckey gary</t>
        </is>
      </c>
      <c r="D714" s="3" t="inlineStr"/>
      <c r="E714" s="4" t="n"/>
      <c r="F714" s="4" t="n">
        <v>800</v>
      </c>
      <c r="G714" s="4">
        <f>G713+E714-F714</f>
        <v/>
      </c>
    </row>
    <row r="715">
      <c r="A715" t="inlineStr">
        <is>
          <t>24/12/2024</t>
        </is>
      </c>
      <c r="B715" t="inlineStr">
        <is>
          <t>1200 - Bank</t>
        </is>
      </c>
      <c r="C715" t="inlineStr">
        <is>
          <t>BPDebitFee 22-12-24 30770918</t>
        </is>
      </c>
      <c r="D715" t="inlineStr"/>
      <c r="E715" s="5" t="n"/>
      <c r="F715" s="5" t="n">
        <v>0.3</v>
      </c>
      <c r="G715" s="5">
        <f>G714+E715-F715</f>
        <v/>
      </c>
    </row>
    <row r="716">
      <c r="A716" s="3" t="inlineStr">
        <is>
          <t>24/12/2024</t>
        </is>
      </c>
      <c r="B716" s="3" t="inlineStr">
        <is>
          <t>1200 - Bank</t>
        </is>
      </c>
      <c r="C716" s="3" t="inlineStr">
        <is>
          <t>BPDebitFee 23-12-24 32759393</t>
        </is>
      </c>
      <c r="D716" s="3" t="inlineStr"/>
      <c r="E716" s="4" t="n"/>
      <c r="F716" s="4" t="n">
        <v>0.3</v>
      </c>
      <c r="G716" s="4">
        <f>G715+E716-F716</f>
        <v/>
      </c>
    </row>
    <row r="717">
      <c r="A717" t="inlineStr">
        <is>
          <t>24/12/2024</t>
        </is>
      </c>
      <c r="B717" t="inlineStr">
        <is>
          <t>1200 - Bank</t>
        </is>
      </c>
      <c r="C717" t="inlineStr">
        <is>
          <t>BROWN T TINA</t>
        </is>
      </c>
      <c r="D717" t="inlineStr"/>
      <c r="E717" s="5" t="n">
        <v>180</v>
      </c>
      <c r="F717" s="5" t="n"/>
      <c r="G717" s="5">
        <f>G716+E717-F717</f>
        <v/>
      </c>
    </row>
    <row r="718">
      <c r="A718" s="3" t="inlineStr">
        <is>
          <t>24/12/2024</t>
        </is>
      </c>
      <c r="B718" s="3" t="inlineStr">
        <is>
          <t>1200 - Bank</t>
        </is>
      </c>
      <c r="C718" s="3" t="inlineStr">
        <is>
          <t>Fin: E07038500000000,FALLS ROAD, ,BELFAS</t>
        </is>
      </c>
      <c r="D718" s="3" t="inlineStr"/>
      <c r="E718" s="4" t="n"/>
      <c r="F718" s="4" t="n">
        <v>431</v>
      </c>
      <c r="G718" s="4">
        <f>G717+E718-F718</f>
        <v/>
      </c>
    </row>
    <row r="719">
      <c r="A719" t="inlineStr">
        <is>
          <t>24/12/2024</t>
        </is>
      </c>
      <c r="B719" t="inlineStr">
        <is>
          <t>1200 - Bank</t>
        </is>
      </c>
      <c r="C719" t="inlineStr">
        <is>
          <t>Fin: ULSTER BANK NORTH,SPAR CLIFT,BELFAS</t>
        </is>
      </c>
      <c r="D719" t="inlineStr"/>
      <c r="E719" s="5" t="n"/>
      <c r="F719" s="5" t="n">
        <v>500</v>
      </c>
      <c r="G719" s="5">
        <f>G718+E719-F719</f>
        <v/>
      </c>
    </row>
    <row r="720">
      <c r="A720" s="3" t="inlineStr">
        <is>
          <t>24/12/2024</t>
        </is>
      </c>
      <c r="B720" s="3" t="inlineStr">
        <is>
          <t>1200 - Bank</t>
        </is>
      </c>
      <c r="C720" s="3" t="inlineStr">
        <is>
          <t>gary leckey gary</t>
        </is>
      </c>
      <c r="D720" s="3" t="inlineStr"/>
      <c r="E720" s="4" t="n"/>
      <c r="F720" s="4" t="n">
        <v>700</v>
      </c>
      <c r="G720" s="4">
        <f>G719+E720-F720</f>
        <v/>
      </c>
    </row>
    <row r="721">
      <c r="A721" t="inlineStr">
        <is>
          <t>25/12/2024</t>
        </is>
      </c>
      <c r="B721" t="inlineStr">
        <is>
          <t>1200 - Bank</t>
        </is>
      </c>
      <c r="C721" t="inlineStr">
        <is>
          <t>BPDebitFee 24-12-24 33125373</t>
        </is>
      </c>
      <c r="D721" t="inlineStr"/>
      <c r="E721" s="5" t="n"/>
      <c r="F721" s="5" t="n">
        <v>0.3</v>
      </c>
      <c r="G721" s="5">
        <f>G720+E721-F721</f>
        <v/>
      </c>
    </row>
    <row r="722">
      <c r="A722" s="3" t="inlineStr">
        <is>
          <t>25/12/2024</t>
        </is>
      </c>
      <c r="B722" s="3" t="inlineStr">
        <is>
          <t>1200 - Bank</t>
        </is>
      </c>
      <c r="C722" s="3" t="inlineStr">
        <is>
          <t>Fin: LANARK WAY FILLING STA,BELFAST</t>
        </is>
      </c>
      <c r="D722" s="3" t="inlineStr"/>
      <c r="E722" s="4" t="n"/>
      <c r="F722" s="4" t="n">
        <v>45</v>
      </c>
      <c r="G722" s="4">
        <f>G721+E722-F722</f>
        <v/>
      </c>
    </row>
    <row r="723">
      <c r="A723" t="inlineStr">
        <is>
          <t>25/12/2024</t>
        </is>
      </c>
      <c r="B723" t="inlineStr">
        <is>
          <t>1200 - Bank</t>
        </is>
      </c>
      <c r="C723" t="inlineStr">
        <is>
          <t>Fin: MARKS&amp;SPENCER PLC,UNIT 8 BAL,BELFAS</t>
        </is>
      </c>
      <c r="D723" t="inlineStr"/>
      <c r="E723" s="5" t="n"/>
      <c r="F723" s="5" t="n">
        <v>179.6</v>
      </c>
      <c r="G723" s="5">
        <f>G722+E723-F723</f>
        <v/>
      </c>
    </row>
    <row r="724">
      <c r="A724" s="3" t="inlineStr">
        <is>
          <t>25/12/2024</t>
        </is>
      </c>
      <c r="B724" s="3" t="inlineStr">
        <is>
          <t>1200 - Bank</t>
        </is>
      </c>
      <c r="C724" s="3" t="inlineStr">
        <is>
          <t>Fin: MAXOL EDENDERRY SSTN,298 CRU,BELFAS</t>
        </is>
      </c>
      <c r="D724" s="3" t="inlineStr"/>
      <c r="E724" s="4" t="n"/>
      <c r="F724" s="4" t="n">
        <v>20</v>
      </c>
      <c r="G724" s="4">
        <f>G723+E724-F724</f>
        <v/>
      </c>
    </row>
    <row r="725">
      <c r="A725" t="inlineStr">
        <is>
          <t>25/12/2024</t>
        </is>
      </c>
      <c r="B725" t="inlineStr">
        <is>
          <t>1200 - Bank</t>
        </is>
      </c>
      <c r="C725" t="inlineStr">
        <is>
          <t>Fin: MUSGRAVE MARKET PLACE,1-15 D,BELFAS</t>
        </is>
      </c>
      <c r="D725" t="inlineStr"/>
      <c r="E725" s="5" t="n"/>
      <c r="F725" s="5" t="n">
        <v>68.65000000000001</v>
      </c>
      <c r="G725" s="5">
        <f>G724+E725-F725</f>
        <v/>
      </c>
    </row>
    <row r="726">
      <c r="A726" s="3" t="inlineStr">
        <is>
          <t>26/12/2024</t>
        </is>
      </c>
      <c r="B726" s="3" t="inlineStr">
        <is>
          <t>1200 - Bank</t>
        </is>
      </c>
      <c r="C726" s="3" t="inlineStr">
        <is>
          <t>Fin: E020350 0000000,GO PETROL ST,BELFAS</t>
        </is>
      </c>
      <c r="D726" s="3" t="inlineStr"/>
      <c r="E726" s="4" t="n"/>
      <c r="F726" s="4" t="n">
        <v>200.99</v>
      </c>
      <c r="G726" s="4">
        <f>G725+E726-F726</f>
        <v/>
      </c>
    </row>
    <row r="727">
      <c r="A727" t="inlineStr">
        <is>
          <t>26/12/2024</t>
        </is>
      </c>
      <c r="B727" t="inlineStr">
        <is>
          <t>1200 - Bank</t>
        </is>
      </c>
      <c r="C727" t="inlineStr">
        <is>
          <t>Fin: E020350 0000000,GO PETROL ST,BELFAS</t>
        </is>
      </c>
      <c r="D727" t="inlineStr"/>
      <c r="E727" s="5" t="n"/>
      <c r="F727" s="5" t="n">
        <v>250.99</v>
      </c>
      <c r="G727" s="5">
        <f>G726+E727-F727</f>
        <v/>
      </c>
    </row>
    <row r="728">
      <c r="A728" s="3" t="inlineStr">
        <is>
          <t>27/12/2024</t>
        </is>
      </c>
      <c r="B728" s="3" t="inlineStr">
        <is>
          <t>1200 - Bank</t>
        </is>
      </c>
      <c r="C728" s="3" t="inlineStr">
        <is>
          <t>G LECKEY 1006862278 gary le</t>
        </is>
      </c>
      <c r="D728" s="3" t="inlineStr"/>
      <c r="E728" s="4" t="n">
        <v>100</v>
      </c>
      <c r="F728" s="4" t="n"/>
      <c r="G728" s="4">
        <f>G727+E728-F728</f>
        <v/>
      </c>
    </row>
    <row r="729">
      <c r="A729" t="inlineStr">
        <is>
          <t>27/12/2024</t>
        </is>
      </c>
      <c r="B729" t="inlineStr">
        <is>
          <t>1200 - Bank</t>
        </is>
      </c>
      <c r="C729" t="inlineStr">
        <is>
          <t>G LECKEY 1006862278 gary le</t>
        </is>
      </c>
      <c r="D729" t="inlineStr"/>
      <c r="E729" s="5" t="n">
        <v>200</v>
      </c>
      <c r="F729" s="5" t="n"/>
      <c r="G729" s="5">
        <f>G728+E729-F729</f>
        <v/>
      </c>
    </row>
    <row r="730">
      <c r="A730" s="3" t="inlineStr">
        <is>
          <t>28/12/2024</t>
        </is>
      </c>
      <c r="B730" s="3" t="inlineStr">
        <is>
          <t>1200 - Bank</t>
        </is>
      </c>
      <c r="C730" s="3" t="inlineStr">
        <is>
          <t>Fin: E02578000000000,HENDERSON RE,BELFAS</t>
        </is>
      </c>
      <c r="D730" s="3" t="inlineStr"/>
      <c r="E730" s="4" t="n"/>
      <c r="F730" s="4" t="n">
        <v>100</v>
      </c>
      <c r="G730" s="4">
        <f>G729+E730-F730</f>
        <v/>
      </c>
    </row>
    <row r="731">
      <c r="A731" t="inlineStr">
        <is>
          <t>28/12/2024</t>
        </is>
      </c>
      <c r="B731" t="inlineStr">
        <is>
          <t>1200 - Bank</t>
        </is>
      </c>
      <c r="C731" t="inlineStr">
        <is>
          <t>Fin: E07038500000000,FALLS ROAD, ,BELFAS</t>
        </is>
      </c>
      <c r="D731" t="inlineStr"/>
      <c r="E731" s="5" t="n"/>
      <c r="F731" s="5" t="n">
        <v>201</v>
      </c>
      <c r="G731" s="5">
        <f>G730+E731-F731</f>
        <v/>
      </c>
    </row>
    <row r="732">
      <c r="A732" s="3" t="inlineStr">
        <is>
          <t>28/12/2024</t>
        </is>
      </c>
      <c r="B732" s="3" t="inlineStr">
        <is>
          <t>1200 - Bank</t>
        </is>
      </c>
      <c r="C732" s="3" t="inlineStr">
        <is>
          <t>Fin: SumUp *Fonacab Driver,Belfast</t>
        </is>
      </c>
      <c r="D732" s="3" t="inlineStr"/>
      <c r="E732" s="4" t="n"/>
      <c r="F732" s="4" t="n">
        <v>10</v>
      </c>
      <c r="G732" s="4">
        <f>G731+E732-F732</f>
        <v/>
      </c>
    </row>
    <row r="733">
      <c r="A733" t="inlineStr">
        <is>
          <t>29/12/2024</t>
        </is>
      </c>
      <c r="B733" t="inlineStr">
        <is>
          <t>1200 - Bank</t>
        </is>
      </c>
      <c r="C733" t="inlineStr">
        <is>
          <t>BROWN T TINA</t>
        </is>
      </c>
      <c r="D733" t="inlineStr"/>
      <c r="E733" s="5" t="n">
        <v>1000</v>
      </c>
      <c r="F733" s="5" t="n"/>
      <c r="G733" s="5">
        <f>G732+E733-F733</f>
        <v/>
      </c>
    </row>
    <row r="734">
      <c r="A734" s="3" t="inlineStr">
        <is>
          <t>29/12/2024</t>
        </is>
      </c>
      <c r="B734" s="3" t="inlineStr">
        <is>
          <t>1200 - Bank</t>
        </is>
      </c>
      <c r="C734" s="3" t="inlineStr">
        <is>
          <t>tina brown tina</t>
        </is>
      </c>
      <c r="D734" s="3" t="inlineStr"/>
      <c r="E734" s="4" t="n"/>
      <c r="F734" s="4" t="n">
        <v>1000</v>
      </c>
      <c r="G734" s="4">
        <f>G733+E734-F734</f>
        <v/>
      </c>
    </row>
    <row r="735">
      <c r="A735" t="inlineStr">
        <is>
          <t>31/12/2024</t>
        </is>
      </c>
      <c r="B735" t="inlineStr">
        <is>
          <t>1200 - Bank</t>
        </is>
      </c>
      <c r="C735" t="inlineStr">
        <is>
          <t>BPDebitFee 29-12-24 38433333</t>
        </is>
      </c>
      <c r="D735" t="inlineStr"/>
      <c r="E735" s="5" t="n"/>
      <c r="F735" s="5" t="n">
        <v>0.3</v>
      </c>
      <c r="G735" s="5">
        <f>G734+E735-F735</f>
        <v/>
      </c>
    </row>
    <row r="736">
      <c r="A736" s="3" t="inlineStr">
        <is>
          <t>31/12/2024</t>
        </is>
      </c>
      <c r="B736" s="3" t="inlineStr">
        <is>
          <t>1200 - Bank</t>
        </is>
      </c>
      <c r="C736" s="3" t="inlineStr">
        <is>
          <t>Ryan kelly Gary</t>
        </is>
      </c>
      <c r="D736" s="3" t="inlineStr"/>
      <c r="E736" s="4" t="n"/>
      <c r="F736" s="4" t="n">
        <v>20</v>
      </c>
      <c r="G736" s="4">
        <f>G735+E736-F736</f>
        <v/>
      </c>
    </row>
    <row r="737">
      <c r="A737" t="inlineStr">
        <is>
          <t>01/01/2025</t>
        </is>
      </c>
      <c r="B737" t="inlineStr">
        <is>
          <t>1200 - Bank</t>
        </is>
      </c>
      <c r="C737" t="inlineStr">
        <is>
          <t>BPDebitFee 31-12-24 41265698</t>
        </is>
      </c>
      <c r="D737" t="inlineStr"/>
      <c r="E737" s="5" t="n"/>
      <c r="F737" s="5" t="n">
        <v>0.3</v>
      </c>
      <c r="G737" s="5">
        <f>G736+E737-F737</f>
        <v/>
      </c>
    </row>
    <row r="738">
      <c r="A738" s="3" t="inlineStr">
        <is>
          <t>01/01/2025</t>
        </is>
      </c>
      <c r="B738" s="3" t="inlineStr">
        <is>
          <t>1200 - Bank</t>
        </is>
      </c>
      <c r="C738" s="3" t="inlineStr">
        <is>
          <t>Fin: ADOBE *ADOBE,4-6 Rive,ADOBE.LY/BIL</t>
        </is>
      </c>
      <c r="D738" s="3" t="inlineStr"/>
      <c r="E738" s="4" t="n"/>
      <c r="F738" s="4" t="n">
        <v>23.99</v>
      </c>
      <c r="G738" s="4">
        <f>G737+E738-F738</f>
        <v/>
      </c>
    </row>
    <row r="739">
      <c r="A739" t="inlineStr">
        <is>
          <t>02/01/2025</t>
        </is>
      </c>
      <c r="B739" t="inlineStr">
        <is>
          <t>1200 - Bank</t>
        </is>
      </c>
      <c r="C739" t="inlineStr">
        <is>
          <t>Fin: CAVEHILL RETAIL LTD,325 CAVE,BELFAS</t>
        </is>
      </c>
      <c r="D739" t="inlineStr"/>
      <c r="E739" s="5" t="n"/>
      <c r="F739" s="5" t="n">
        <v>32.3</v>
      </c>
      <c r="G739" s="5">
        <f>G738+E739-F739</f>
        <v/>
      </c>
    </row>
    <row r="740">
      <c r="A740" s="3" t="inlineStr">
        <is>
          <t>02/01/2025</t>
        </is>
      </c>
      <c r="B740" s="3" t="inlineStr">
        <is>
          <t>1200 - Bank</t>
        </is>
      </c>
      <c r="C740" s="3" t="inlineStr">
        <is>
          <t>Fin: CENTRA MALLUSK,MAYFIELD LINK,BELFAS</t>
        </is>
      </c>
      <c r="D740" s="3" t="inlineStr"/>
      <c r="E740" s="4" t="n"/>
      <c r="F740" s="4" t="n">
        <v>4.15</v>
      </c>
      <c r="G740" s="4">
        <f>G739+E740-F740</f>
        <v/>
      </c>
    </row>
    <row r="741">
      <c r="A741" t="inlineStr">
        <is>
          <t>03/01/2025</t>
        </is>
      </c>
      <c r="B741" t="inlineStr">
        <is>
          <t>1200 - Bank</t>
        </is>
      </c>
      <c r="C741" t="inlineStr">
        <is>
          <t>Fin: MOBILE ZONE BELFAST LT,BELFAST</t>
        </is>
      </c>
      <c r="D741" t="inlineStr"/>
      <c r="E741" s="5" t="n"/>
      <c r="F741" s="5" t="n">
        <v>30</v>
      </c>
      <c r="G741" s="5">
        <f>G740+E741-F741</f>
        <v/>
      </c>
    </row>
    <row r="742">
      <c r="A742" s="3" t="inlineStr">
        <is>
          <t>03/01/2025</t>
        </is>
      </c>
      <c r="B742" s="3" t="inlineStr">
        <is>
          <t>1200 - Bank</t>
        </is>
      </c>
      <c r="C742" s="3" t="inlineStr">
        <is>
          <t>Fin: That Prize Guy Ltd,Enterprise,Bango</t>
        </is>
      </c>
      <c r="D742" s="3" t="inlineStr"/>
      <c r="E742" s="4" t="n"/>
      <c r="F742" s="4" t="n">
        <v>6.38</v>
      </c>
      <c r="G742" s="4">
        <f>G741+E742-F742</f>
        <v/>
      </c>
    </row>
    <row r="743">
      <c r="A743" t="inlineStr">
        <is>
          <t>06/01/2025</t>
        </is>
      </c>
      <c r="B743" t="inlineStr">
        <is>
          <t>1200 - Bank</t>
        </is>
      </c>
      <c r="C743" t="inlineStr">
        <is>
          <t>BROWN T TINA</t>
        </is>
      </c>
      <c r="D743" t="inlineStr"/>
      <c r="E743" s="5" t="n">
        <v>127</v>
      </c>
      <c r="F743" s="5" t="n"/>
      <c r="G743" s="5">
        <f>G742+E743-F743</f>
        <v/>
      </c>
    </row>
    <row r="744">
      <c r="A744" s="3" t="inlineStr">
        <is>
          <t>06/01/2025</t>
        </is>
      </c>
      <c r="B744" s="3" t="inlineStr">
        <is>
          <t>1200 - Bank</t>
        </is>
      </c>
      <c r="C744" s="3" t="inlineStr">
        <is>
          <t>Fin: CO-OP GROUP 140006,Old Park Road</t>
        </is>
      </c>
      <c r="D744" s="3" t="inlineStr"/>
      <c r="E744" s="4" t="n"/>
      <c r="F744" s="4" t="n">
        <v>14.69</v>
      </c>
      <c r="G744" s="4">
        <f>G743+E744-F744</f>
        <v/>
      </c>
    </row>
    <row r="745">
      <c r="A745" t="inlineStr">
        <is>
          <t>06/01/2025</t>
        </is>
      </c>
      <c r="B745" t="inlineStr">
        <is>
          <t>1200 - Bank</t>
        </is>
      </c>
      <c r="C745" t="inlineStr">
        <is>
          <t>Fin: FUNKY MONKEYS TILL 1,KENNEDY,BELFAS</t>
        </is>
      </c>
      <c r="D745" t="inlineStr"/>
      <c r="E745" s="5" t="n"/>
      <c r="F745" s="5" t="n">
        <v>6.95</v>
      </c>
      <c r="G745" s="5">
        <f>G744+E745-F745</f>
        <v/>
      </c>
    </row>
    <row r="746">
      <c r="A746" s="3" t="inlineStr">
        <is>
          <t>06/01/2025</t>
        </is>
      </c>
      <c r="B746" s="3" t="inlineStr">
        <is>
          <t>1200 - Bank</t>
        </is>
      </c>
      <c r="C746" s="3" t="inlineStr">
        <is>
          <t>Fin: NITHCO DONEGALL QUAY C,BELFAST</t>
        </is>
      </c>
      <c r="D746" s="3" t="inlineStr"/>
      <c r="E746" s="4" t="n"/>
      <c r="F746" s="4" t="n">
        <v>13</v>
      </c>
      <c r="G746" s="4">
        <f>G745+E746-F746</f>
        <v/>
      </c>
    </row>
    <row r="747">
      <c r="A747" t="inlineStr">
        <is>
          <t>06/01/2025</t>
        </is>
      </c>
      <c r="B747" t="inlineStr">
        <is>
          <t>1200 - Bank</t>
        </is>
      </c>
      <c r="C747" t="inlineStr">
        <is>
          <t>Fin: PPOINT_*Hugh's Confect,Belfast</t>
        </is>
      </c>
      <c r="D747" t="inlineStr"/>
      <c r="E747" s="5" t="n"/>
      <c r="F747" s="5" t="n">
        <v>4.25</v>
      </c>
      <c r="G747" s="5">
        <f>G746+E747-F747</f>
        <v/>
      </c>
    </row>
    <row r="748">
      <c r="A748" s="3" t="inlineStr">
        <is>
          <t>07/01/2025</t>
        </is>
      </c>
      <c r="B748" s="3" t="inlineStr">
        <is>
          <t>1200 - Bank</t>
        </is>
      </c>
      <c r="C748" s="3" t="inlineStr">
        <is>
          <t>**** Cashback ****</t>
        </is>
      </c>
      <c r="D748" s="3" t="inlineStr"/>
      <c r="E748" s="4" t="n">
        <v>17.92</v>
      </c>
      <c r="F748" s="4" t="n"/>
      <c r="G748" s="4">
        <f>G747+E748-F748</f>
        <v/>
      </c>
    </row>
    <row r="749">
      <c r="A749" t="inlineStr">
        <is>
          <t>07/01/2025</t>
        </is>
      </c>
      <c r="B749" t="inlineStr">
        <is>
          <t>1200 - Bank</t>
        </is>
      </c>
      <c r="C749" t="inlineStr">
        <is>
          <t>Direct Debit Rejected Payment Fee</t>
        </is>
      </c>
      <c r="D749" t="inlineStr"/>
      <c r="E749" s="5" t="n"/>
      <c r="F749" s="5" t="n">
        <v>15</v>
      </c>
      <c r="G749" s="5">
        <f>G748+E749-F749</f>
        <v/>
      </c>
    </row>
    <row r="750">
      <c r="A750" s="3" t="inlineStr">
        <is>
          <t>07/01/2025</t>
        </is>
      </c>
      <c r="B750" s="3" t="inlineStr">
        <is>
          <t>1200 - Bank</t>
        </is>
      </c>
      <c r="C750" s="3" t="inlineStr">
        <is>
          <t>Fin: 325 CAVEHILL ROAD,BELFAST</t>
        </is>
      </c>
      <c r="D750" s="3" t="inlineStr"/>
      <c r="E750" s="4" t="n">
        <v>180</v>
      </c>
      <c r="F750" s="4" t="n"/>
      <c r="G750" s="4">
        <f>G749+E750-F750</f>
        <v/>
      </c>
    </row>
    <row r="751">
      <c r="A751" t="inlineStr">
        <is>
          <t>07/01/2025</t>
        </is>
      </c>
      <c r="B751" t="inlineStr">
        <is>
          <t>1200 - Bank</t>
        </is>
      </c>
      <c r="C751" t="inlineStr">
        <is>
          <t>Fin: FRYLITE LTD,ORCHARD ROAD OR,STRABAN</t>
        </is>
      </c>
      <c r="D751" t="inlineStr"/>
      <c r="E751" s="5" t="n"/>
      <c r="F751" s="5" t="n">
        <v>126.4</v>
      </c>
      <c r="G751" s="5">
        <f>G750+E751-F751</f>
        <v/>
      </c>
    </row>
    <row r="752">
      <c r="A752" s="3" t="inlineStr">
        <is>
          <t>08/01/2025</t>
        </is>
      </c>
      <c r="B752" s="3" t="inlineStr">
        <is>
          <t>1200 - Bank</t>
        </is>
      </c>
      <c r="C752" s="3" t="inlineStr">
        <is>
          <t>Fee for cash loads over 0/month</t>
        </is>
      </c>
      <c r="D752" s="3" t="inlineStr"/>
      <c r="E752" s="4" t="n"/>
      <c r="F752" s="4" t="n">
        <v>3</v>
      </c>
      <c r="G752" s="4">
        <f>G751+E752-F752</f>
        <v/>
      </c>
    </row>
    <row r="753">
      <c r="A753" t="inlineStr">
        <is>
          <t>08/01/2025</t>
        </is>
      </c>
      <c r="B753" t="inlineStr">
        <is>
          <t>1200 - Bank</t>
        </is>
      </c>
      <c r="C753" t="inlineStr">
        <is>
          <t>Fin: BOOKING.COM,The Monume,LONDON 165.97 EUR XR 1.203117</t>
        </is>
      </c>
      <c r="D753" t="inlineStr"/>
      <c r="E753" s="5" t="n"/>
      <c r="F753" s="5" t="n">
        <v>137.95</v>
      </c>
      <c r="G753" s="5">
        <f>G752+E753-F753</f>
        <v/>
      </c>
    </row>
    <row r="754">
      <c r="A754" s="3" t="inlineStr">
        <is>
          <t>08/01/2025</t>
        </is>
      </c>
      <c r="B754" s="3" t="inlineStr">
        <is>
          <t>1200 - Bank</t>
        </is>
      </c>
      <c r="C754" s="3" t="inlineStr">
        <is>
          <t>Fin: CO-OP GROUP 140916,BALLYSILLAN R</t>
        </is>
      </c>
      <c r="D754" s="3" t="inlineStr"/>
      <c r="E754" s="4" t="n"/>
      <c r="F754" s="4" t="n">
        <v>7.3</v>
      </c>
      <c r="G754" s="4">
        <f>G753+E754-F754</f>
        <v/>
      </c>
    </row>
    <row r="755">
      <c r="A755" t="inlineStr">
        <is>
          <t>09/01/2025</t>
        </is>
      </c>
      <c r="B755" t="inlineStr">
        <is>
          <t>1200 - Bank</t>
        </is>
      </c>
      <c r="C755" t="inlineStr">
        <is>
          <t>Fin: DYLAN OAKS INTERNATION,BELFAST</t>
        </is>
      </c>
      <c r="D755" t="inlineStr"/>
      <c r="E755" s="5" t="n"/>
      <c r="F755" s="5" t="n">
        <v>158</v>
      </c>
      <c r="G755" s="5">
        <f>G754+E755-F755</f>
        <v/>
      </c>
    </row>
    <row r="756">
      <c r="A756" s="3" t="inlineStr">
        <is>
          <t>09/01/2025</t>
        </is>
      </c>
      <c r="B756" s="3" t="inlineStr">
        <is>
          <t>1200 - Bank</t>
        </is>
      </c>
      <c r="C756" s="3" t="inlineStr">
        <is>
          <t>Fin: GO TWIN SPIRES,5 FALLS ROAD,BELFAST</t>
        </is>
      </c>
      <c r="D756" s="3" t="inlineStr"/>
      <c r="E756" s="4" t="n"/>
      <c r="F756" s="4" t="n">
        <v>30.04</v>
      </c>
      <c r="G756" s="4">
        <f>G755+E756-F756</f>
        <v/>
      </c>
    </row>
    <row r="757">
      <c r="A757" t="inlineStr">
        <is>
          <t>09/01/2025</t>
        </is>
      </c>
      <c r="B757" t="inlineStr">
        <is>
          <t>1200 - Bank</t>
        </is>
      </c>
      <c r="C757" t="inlineStr">
        <is>
          <t>Fin: SPAR TWIN SPIRES,UNIT 17-21 ,BELFAS</t>
        </is>
      </c>
      <c r="D757" t="inlineStr"/>
      <c r="E757" s="5" t="n"/>
      <c r="F757" s="5" t="n">
        <v>2.95</v>
      </c>
      <c r="G757" s="5">
        <f>G756+E757-F757</f>
        <v/>
      </c>
    </row>
    <row r="758">
      <c r="A758" s="3" t="inlineStr">
        <is>
          <t>09/01/2025</t>
        </is>
      </c>
      <c r="B758" s="3" t="inlineStr">
        <is>
          <t>1200 - Bank</t>
        </is>
      </c>
      <c r="C758" s="3" t="inlineStr">
        <is>
          <t>Fin: That Prize Guy Ltd,Enterprise,Bango</t>
        </is>
      </c>
      <c r="D758" s="3" t="inlineStr"/>
      <c r="E758" s="4" t="n"/>
      <c r="F758" s="4" t="n">
        <v>3.4</v>
      </c>
      <c r="G758" s="4">
        <f>G757+E758-F758</f>
        <v/>
      </c>
    </row>
    <row r="759">
      <c r="A759" t="inlineStr">
        <is>
          <t>14/01/2025</t>
        </is>
      </c>
      <c r="B759" t="inlineStr">
        <is>
          <t>1200 - Bank</t>
        </is>
      </c>
      <c r="C759" t="inlineStr">
        <is>
          <t>Direct Debit Rejected Payment Fee</t>
        </is>
      </c>
      <c r="D759" t="inlineStr"/>
      <c r="E759" s="5" t="n"/>
      <c r="F759" s="5" t="n">
        <v>15</v>
      </c>
      <c r="G759" s="5">
        <f>G758+E759-F759</f>
        <v/>
      </c>
    </row>
    <row r="760">
      <c r="A760" s="3" t="inlineStr">
        <is>
          <t>17/01/2025</t>
        </is>
      </c>
      <c r="B760" s="3" t="inlineStr">
        <is>
          <t>1200 - Bank</t>
        </is>
      </c>
      <c r="C760" s="3" t="inlineStr">
        <is>
          <t>BROWN T TINA</t>
        </is>
      </c>
      <c r="D760" s="3" t="inlineStr"/>
      <c r="E760" s="4" t="n">
        <v>86</v>
      </c>
      <c r="F760" s="4" t="n"/>
      <c r="G760" s="4">
        <f>G759+E760-F760</f>
        <v/>
      </c>
    </row>
    <row r="761">
      <c r="A761" t="inlineStr">
        <is>
          <t>17/01/2025</t>
        </is>
      </c>
      <c r="B761" t="inlineStr">
        <is>
          <t>1200 - Bank</t>
        </is>
      </c>
      <c r="C761" t="inlineStr">
        <is>
          <t>CSR NI LTD THE CSR GROUP</t>
        </is>
      </c>
      <c r="D761" t="inlineStr"/>
      <c r="E761" s="5" t="n">
        <v>165</v>
      </c>
      <c r="F761" s="5" t="n"/>
      <c r="G761" s="5">
        <f>G760+E761-F761</f>
        <v/>
      </c>
    </row>
    <row r="762">
      <c r="A762" s="3" t="inlineStr">
        <is>
          <t>17/01/2025</t>
        </is>
      </c>
      <c r="B762" s="3" t="inlineStr">
        <is>
          <t>1200 - Bank</t>
        </is>
      </c>
      <c r="C762" s="3" t="inlineStr">
        <is>
          <t>Fin: 325 CAVEHILL ROAD,BELFAST</t>
        </is>
      </c>
      <c r="D762" s="3" t="inlineStr"/>
      <c r="E762" s="4" t="n">
        <v>510</v>
      </c>
      <c r="F762" s="4" t="n"/>
      <c r="G762" s="4">
        <f>G761+E762-F762</f>
        <v/>
      </c>
    </row>
    <row r="763">
      <c r="A763" t="inlineStr">
        <is>
          <t>18/01/2025</t>
        </is>
      </c>
      <c r="B763" t="inlineStr">
        <is>
          <t>1200 - Bank</t>
        </is>
      </c>
      <c r="C763" t="inlineStr">
        <is>
          <t>Fin: EASYJETK8S597K,HANGAR ,WWW.EASYJET.</t>
        </is>
      </c>
      <c r="D763" t="inlineStr"/>
      <c r="E763" s="5" t="n"/>
      <c r="F763" s="5" t="n">
        <v>585.9</v>
      </c>
      <c r="G763" s="5">
        <f>G762+E763-F763</f>
        <v/>
      </c>
    </row>
    <row r="764">
      <c r="A764" s="3" t="inlineStr">
        <is>
          <t>20/01/2025</t>
        </is>
      </c>
      <c r="B764" s="3" t="inlineStr">
        <is>
          <t>1200 - Bank</t>
        </is>
      </c>
      <c r="C764" s="3" t="inlineStr">
        <is>
          <t>Fee for cash loads over 0/month</t>
        </is>
      </c>
      <c r="D764" s="3" t="inlineStr"/>
      <c r="E764" s="4" t="n"/>
      <c r="F764" s="4" t="n">
        <v>3</v>
      </c>
      <c r="G764" s="4">
        <f>G763+E764-F764</f>
        <v/>
      </c>
    </row>
    <row r="765">
      <c r="A765" t="inlineStr">
        <is>
          <t>24/01/2025</t>
        </is>
      </c>
      <c r="B765" t="inlineStr">
        <is>
          <t>1200 - Bank</t>
        </is>
      </c>
      <c r="C765" t="inlineStr">
        <is>
          <t>CSR NI LTD THE CSR GROUP</t>
        </is>
      </c>
      <c r="D765" t="inlineStr"/>
      <c r="E765" s="5" t="n">
        <v>1200</v>
      </c>
      <c r="F765" s="5" t="n"/>
      <c r="G765" s="5">
        <f>G764+E765-F765</f>
        <v/>
      </c>
    </row>
    <row r="766">
      <c r="A766" s="3" t="inlineStr">
        <is>
          <t>24/01/2025</t>
        </is>
      </c>
      <c r="B766" s="3" t="inlineStr">
        <is>
          <t>1200 - Bank</t>
        </is>
      </c>
      <c r="C766" s="3" t="inlineStr">
        <is>
          <t>Fee: Card Management</t>
        </is>
      </c>
      <c r="D766" s="3" t="inlineStr"/>
      <c r="E766" s="4" t="n"/>
      <c r="F766" s="4" t="n">
        <v>9</v>
      </c>
      <c r="G766" s="4">
        <f>G765+E766-F766</f>
        <v/>
      </c>
    </row>
    <row r="767">
      <c r="A767" t="inlineStr">
        <is>
          <t>25/01/2025</t>
        </is>
      </c>
      <c r="B767" t="inlineStr">
        <is>
          <t>1200 - Bank</t>
        </is>
      </c>
      <c r="C767" t="inlineStr">
        <is>
          <t>Fin: INVIDEO INNOVATION,3 CHURC,SINGAPOR 35 USD XR 1.228933</t>
        </is>
      </c>
      <c r="D767" t="inlineStr"/>
      <c r="E767" s="5" t="n"/>
      <c r="F767" s="5" t="n">
        <v>28.48</v>
      </c>
      <c r="G767" s="5">
        <f>G766+E767-F767</f>
        <v/>
      </c>
    </row>
    <row r="768">
      <c r="A768" s="3" t="inlineStr">
        <is>
          <t>25/01/2025</t>
        </is>
      </c>
      <c r="B768" s="3" t="inlineStr">
        <is>
          <t>1200 - Bank</t>
        </is>
      </c>
      <c r="C768" s="3" t="inlineStr">
        <is>
          <t>Fin: WIX.COM,Tower Brid,LONDON</t>
        </is>
      </c>
      <c r="D768" s="3" t="inlineStr"/>
      <c r="E768" s="4" t="n"/>
      <c r="F768" s="4" t="n">
        <v>34.8</v>
      </c>
      <c r="G768" s="4">
        <f>G767+E768-F768</f>
        <v/>
      </c>
    </row>
    <row r="769">
      <c r="A769" t="inlineStr">
        <is>
          <t>26/01/2025</t>
        </is>
      </c>
      <c r="B769" t="inlineStr">
        <is>
          <t>1200 - Bank</t>
        </is>
      </c>
      <c r="C769" t="inlineStr">
        <is>
          <t>Fin: 325 CAVEHILL ROAD,BELFAST</t>
        </is>
      </c>
      <c r="D769" t="inlineStr"/>
      <c r="E769" s="5" t="n"/>
      <c r="F769" s="5" t="n">
        <v>400</v>
      </c>
      <c r="G769" s="5">
        <f>G768+E769-F769</f>
        <v/>
      </c>
    </row>
    <row r="770">
      <c r="A770" s="3" t="inlineStr">
        <is>
          <t>27/01/2025</t>
        </is>
      </c>
      <c r="B770" s="3" t="inlineStr">
        <is>
          <t>1200 - Bank</t>
        </is>
      </c>
      <c r="C770" s="3" t="inlineStr">
        <is>
          <t>BROWN T TINA</t>
        </is>
      </c>
      <c r="D770" s="3" t="inlineStr"/>
      <c r="E770" s="4" t="n">
        <v>50</v>
      </c>
      <c r="F770" s="4" t="n"/>
      <c r="G770" s="4">
        <f>G769+E770-F770</f>
        <v/>
      </c>
    </row>
    <row r="771">
      <c r="A771" t="inlineStr">
        <is>
          <t>27/01/2025</t>
        </is>
      </c>
      <c r="B771" t="inlineStr">
        <is>
          <t>1200 - Bank</t>
        </is>
      </c>
      <c r="C771" t="inlineStr">
        <is>
          <t>Fin: CAVEHILL RETAIL LTD,325 CAVE,BELFAS</t>
        </is>
      </c>
      <c r="D771" t="inlineStr"/>
      <c r="E771" s="5" t="n"/>
      <c r="F771" s="5" t="n">
        <v>61.86</v>
      </c>
      <c r="G771" s="5">
        <f>G770+E771-F771</f>
        <v/>
      </c>
    </row>
    <row r="772">
      <c r="A772" s="3" t="inlineStr">
        <is>
          <t>27/01/2025</t>
        </is>
      </c>
      <c r="B772" s="3" t="inlineStr">
        <is>
          <t>1200 - Bank</t>
        </is>
      </c>
      <c r="C772" s="3" t="inlineStr">
        <is>
          <t>Fin: E07047900000000,BLACKSTAFF E,BELFAS</t>
        </is>
      </c>
      <c r="D772" s="3" t="inlineStr"/>
      <c r="E772" s="4" t="n"/>
      <c r="F772" s="4" t="n">
        <v>500</v>
      </c>
      <c r="G772" s="4">
        <f>G771+E772-F772</f>
        <v/>
      </c>
    </row>
    <row r="773">
      <c r="A773" t="inlineStr">
        <is>
          <t>27/01/2025</t>
        </is>
      </c>
      <c r="B773" t="inlineStr">
        <is>
          <t>1200 - Bank</t>
        </is>
      </c>
      <c r="C773" t="inlineStr">
        <is>
          <t>Fin: FUNSTATION - BELFAST,UNIT L3,BELFAS</t>
        </is>
      </c>
      <c r="D773" t="inlineStr"/>
      <c r="E773" s="5" t="n"/>
      <c r="F773" s="5" t="n">
        <v>25</v>
      </c>
      <c r="G773" s="5">
        <f>G772+E773-F773</f>
        <v/>
      </c>
    </row>
    <row r="774">
      <c r="A774" s="3" t="inlineStr">
        <is>
          <t>27/01/2025</t>
        </is>
      </c>
      <c r="B774" s="3" t="inlineStr">
        <is>
          <t>1200 - Bank</t>
        </is>
      </c>
      <c r="C774" s="3" t="inlineStr">
        <is>
          <t>Fin: FUNSTATION - BELFAST,UNIT L3,BELFAS</t>
        </is>
      </c>
      <c r="D774" s="3" t="inlineStr"/>
      <c r="E774" s="4" t="n"/>
      <c r="F774" s="4" t="n">
        <v>25</v>
      </c>
      <c r="G774" s="4">
        <f>G773+E774-F774</f>
        <v/>
      </c>
    </row>
    <row r="775">
      <c r="A775" t="inlineStr">
        <is>
          <t>27/01/2025</t>
        </is>
      </c>
      <c r="B775" t="inlineStr">
        <is>
          <t>1200 - Bank</t>
        </is>
      </c>
      <c r="C775" t="inlineStr">
        <is>
          <t>Fin: FUNSTATION BELFAST,ROUND SPINNEY</t>
        </is>
      </c>
      <c r="D775" t="inlineStr"/>
      <c r="E775" s="5" t="n"/>
      <c r="F775" s="5" t="n">
        <v>2.3</v>
      </c>
      <c r="G775" s="5">
        <f>G774+E775-F775</f>
        <v/>
      </c>
    </row>
    <row r="776">
      <c r="A776" s="3" t="inlineStr">
        <is>
          <t>27/01/2025</t>
        </is>
      </c>
      <c r="B776" s="3" t="inlineStr">
        <is>
          <t>1200 - Bank</t>
        </is>
      </c>
      <c r="C776" s="3" t="inlineStr">
        <is>
          <t>Fin: FUNSTATION BELFAST,ROUND SPINNEY</t>
        </is>
      </c>
      <c r="D776" s="3" t="inlineStr"/>
      <c r="E776" s="4" t="n"/>
      <c r="F776" s="4" t="n">
        <v>4.5</v>
      </c>
      <c r="G776" s="4">
        <f>G775+E776-F776</f>
        <v/>
      </c>
    </row>
    <row r="777">
      <c r="A777" t="inlineStr">
        <is>
          <t>27/01/2025</t>
        </is>
      </c>
      <c r="B777" t="inlineStr">
        <is>
          <t>1200 - Bank</t>
        </is>
      </c>
      <c r="C777" t="inlineStr">
        <is>
          <t>Fin: LANDSCAPE FILLING STAT,BELFAST</t>
        </is>
      </c>
      <c r="D777" t="inlineStr"/>
      <c r="E777" s="5" t="n"/>
      <c r="F777" s="5" t="n">
        <v>20.18</v>
      </c>
      <c r="G777" s="5">
        <f>G776+E777-F777</f>
        <v/>
      </c>
    </row>
    <row r="778">
      <c r="A778" s="3" t="inlineStr">
        <is>
          <t>27/01/2025</t>
        </is>
      </c>
      <c r="B778" s="3" t="inlineStr">
        <is>
          <t>1200 - Bank</t>
        </is>
      </c>
      <c r="C778" s="3" t="inlineStr">
        <is>
          <t>Fin: MAXOL EDENDERRY SSTN,298 CRU,BELFAS</t>
        </is>
      </c>
      <c r="D778" s="3" t="inlineStr"/>
      <c r="E778" s="4" t="n"/>
      <c r="F778" s="4" t="n">
        <v>22.6</v>
      </c>
      <c r="G778" s="4">
        <f>G777+E778-F778</f>
        <v/>
      </c>
    </row>
    <row r="779">
      <c r="A779" t="inlineStr">
        <is>
          <t>27/01/2025</t>
        </is>
      </c>
      <c r="B779" t="inlineStr">
        <is>
          <t>1200 - Bank</t>
        </is>
      </c>
      <c r="C779" t="inlineStr">
        <is>
          <t>Fin: OML BELFAST,2 QUEENS Q,BELFAST</t>
        </is>
      </c>
      <c r="D779" t="inlineStr"/>
      <c r="E779" s="5" t="n"/>
      <c r="F779" s="5" t="n">
        <v>3.6</v>
      </c>
      <c r="G779" s="5">
        <f>G778+E779-F779</f>
        <v/>
      </c>
    </row>
    <row r="780">
      <c r="A780" s="3" t="inlineStr">
        <is>
          <t>27/01/2025</t>
        </is>
      </c>
      <c r="B780" s="3" t="inlineStr">
        <is>
          <t>1200 - Bank</t>
        </is>
      </c>
      <c r="C780" s="3" t="inlineStr">
        <is>
          <t>Fin: SLIM CHICKENS,UNIT 6,BELFAST</t>
        </is>
      </c>
      <c r="D780" s="3" t="inlineStr"/>
      <c r="E780" s="4" t="n"/>
      <c r="F780" s="4" t="n">
        <v>35.3</v>
      </c>
      <c r="G780" s="4">
        <f>G779+E780-F780</f>
        <v/>
      </c>
    </row>
    <row r="781">
      <c r="A781" t="inlineStr">
        <is>
          <t>27/01/2025</t>
        </is>
      </c>
      <c r="B781" t="inlineStr">
        <is>
          <t>1200 - Bank</t>
        </is>
      </c>
      <c r="C781" t="inlineStr">
        <is>
          <t>Fin: SMYTHS TOYS BELFAST,UNIT 3 &amp;,BELFAS</t>
        </is>
      </c>
      <c r="D781" t="inlineStr"/>
      <c r="E781" s="5" t="n"/>
      <c r="F781" s="5" t="n">
        <v>19.47</v>
      </c>
      <c r="G781" s="5">
        <f>G780+E781-F781</f>
        <v/>
      </c>
    </row>
    <row r="782">
      <c r="A782" s="3" t="inlineStr">
        <is>
          <t>28/01/2025</t>
        </is>
      </c>
      <c r="B782" s="3" t="inlineStr">
        <is>
          <t>1200 - Bank</t>
        </is>
      </c>
      <c r="C782" s="3" t="inlineStr">
        <is>
          <t>Fin: FLAX EUROSPAR,60 ARDOYNE AVE,BELFAS</t>
        </is>
      </c>
      <c r="D782" s="3" t="inlineStr"/>
      <c r="E782" s="4" t="n"/>
      <c r="F782" s="4" t="n">
        <v>0.88</v>
      </c>
      <c r="G782" s="4">
        <f>G781+E782-F782</f>
        <v/>
      </c>
    </row>
    <row r="783">
      <c r="A783" t="inlineStr">
        <is>
          <t>28/01/2025</t>
        </is>
      </c>
      <c r="B783" t="inlineStr">
        <is>
          <t>1200 - Bank</t>
        </is>
      </c>
      <c r="C783" t="inlineStr">
        <is>
          <t>UKAtmFee 26-01-25 214430847</t>
        </is>
      </c>
      <c r="D783" t="inlineStr"/>
      <c r="E783" s="5" t="n"/>
      <c r="F783" s="5" t="n">
        <v>3</v>
      </c>
      <c r="G783" s="5">
        <f>G782+E783-F783</f>
        <v/>
      </c>
    </row>
    <row r="784">
      <c r="A784" s="3" t="inlineStr">
        <is>
          <t>29/01/2025</t>
        </is>
      </c>
      <c r="B784" s="3" t="inlineStr">
        <is>
          <t>1200 - Bank</t>
        </is>
      </c>
      <c r="C784" s="3" t="inlineStr">
        <is>
          <t>Fin: ENUK0467,1A GLENAVY ROAD,LISBURN</t>
        </is>
      </c>
      <c r="D784" s="3" t="inlineStr"/>
      <c r="E784" s="4" t="n"/>
      <c r="F784" s="4" t="n">
        <v>50</v>
      </c>
      <c r="G784" s="4">
        <f>G783+E784-F784</f>
        <v/>
      </c>
    </row>
    <row r="785">
      <c r="A785" t="inlineStr">
        <is>
          <t>31/01/2025</t>
        </is>
      </c>
      <c r="B785" t="inlineStr">
        <is>
          <t>1200 - Bank</t>
        </is>
      </c>
      <c r="C785" t="inlineStr">
        <is>
          <t>AMC CONSTRUCTION (NI) LTD INV 30</t>
        </is>
      </c>
      <c r="D785" t="inlineStr"/>
      <c r="E785" s="5" t="n">
        <v>1456</v>
      </c>
      <c r="F785" s="5" t="n"/>
      <c r="G785" s="5">
        <f>G784+E785-F785</f>
        <v/>
      </c>
    </row>
    <row r="786">
      <c r="A786" s="3" t="inlineStr">
        <is>
          <t>01/02/2025</t>
        </is>
      </c>
      <c r="B786" s="3" t="inlineStr">
        <is>
          <t>1200 - Bank</t>
        </is>
      </c>
      <c r="C786" s="3" t="inlineStr">
        <is>
          <t>CSR NI LTD THE CSR GROUP</t>
        </is>
      </c>
      <c r="D786" s="3" t="inlineStr"/>
      <c r="E786" s="4" t="n">
        <v>1430.4</v>
      </c>
      <c r="F786" s="4" t="n"/>
      <c r="G786" s="4">
        <f>G785+E786-F786</f>
        <v/>
      </c>
    </row>
    <row r="787">
      <c r="A787" t="inlineStr">
        <is>
          <t>01/02/2025</t>
        </is>
      </c>
      <c r="B787" t="inlineStr">
        <is>
          <t>1200 - Bank</t>
        </is>
      </c>
      <c r="C787" t="inlineStr">
        <is>
          <t>Fin: IN2RETAIL IRELAND 306,Font Hi,Dubli</t>
        </is>
      </c>
      <c r="D787" t="inlineStr"/>
      <c r="E787" s="5" t="n"/>
      <c r="F787" s="5" t="n">
        <v>98.55</v>
      </c>
      <c r="G787" s="5">
        <f>G786+E787-F787</f>
        <v/>
      </c>
    </row>
    <row r="788">
      <c r="A788" s="3" t="inlineStr">
        <is>
          <t>01/02/2025</t>
        </is>
      </c>
      <c r="B788" s="3" t="inlineStr">
        <is>
          <t>1200 - Bank</t>
        </is>
      </c>
      <c r="C788" s="3" t="inlineStr">
        <is>
          <t>Fin: MALDRON HOTEL NEWLANDS,NAAS R,DUBLI</t>
        </is>
      </c>
      <c r="D788" s="3" t="inlineStr"/>
      <c r="E788" s="4" t="n"/>
      <c r="F788" s="4" t="n">
        <v>169.5</v>
      </c>
      <c r="G788" s="4">
        <f>G787+E788-F788</f>
        <v/>
      </c>
    </row>
    <row r="789">
      <c r="A789" t="inlineStr">
        <is>
          <t>01/02/2025</t>
        </is>
      </c>
      <c r="B789" t="inlineStr">
        <is>
          <t>1200 - Bank</t>
        </is>
      </c>
      <c r="C789" t="inlineStr">
        <is>
          <t>Fin: MALDRON HOTEL NEWLANDS,NAAS R,DUBLI 17.90 EUR XR 1.193333</t>
        </is>
      </c>
      <c r="D789" t="inlineStr"/>
      <c r="E789" s="5" t="n"/>
      <c r="F789" s="5" t="n">
        <v>15</v>
      </c>
      <c r="G789" s="5">
        <f>G788+E789-F789</f>
        <v/>
      </c>
    </row>
    <row r="790">
      <c r="A790" s="3" t="inlineStr">
        <is>
          <t>03/02/2025</t>
        </is>
      </c>
      <c r="B790" s="3" t="inlineStr">
        <is>
          <t>1200 - Bank</t>
        </is>
      </c>
      <c r="C790" s="3" t="inlineStr">
        <is>
          <t>Fin: 3897 Kildare CW,Kildare Vill,Kildar 50 EUR XR 1.193317</t>
        </is>
      </c>
      <c r="D790" s="3" t="inlineStr"/>
      <c r="E790" s="4" t="n"/>
      <c r="F790" s="4" t="n">
        <v>41.9</v>
      </c>
      <c r="G790" s="4">
        <f>G789+E790-F790</f>
        <v/>
      </c>
    </row>
    <row r="791">
      <c r="A791" t="inlineStr">
        <is>
          <t>03/02/2025</t>
        </is>
      </c>
      <c r="B791" t="inlineStr">
        <is>
          <t>1200 - Bank</t>
        </is>
      </c>
      <c r="C791" t="inlineStr">
        <is>
          <t>Fin: ADOBE *ADOBE,4-6 Rive,ADOBE.LY/BIL</t>
        </is>
      </c>
      <c r="D791" t="inlineStr"/>
      <c r="E791" s="5" t="n"/>
      <c r="F791" s="5" t="n">
        <v>23.99</v>
      </c>
      <c r="G791" s="5">
        <f>G790+E791-F791</f>
        <v/>
      </c>
    </row>
    <row r="792">
      <c r="A792" s="3" t="inlineStr">
        <is>
          <t>03/02/2025</t>
        </is>
      </c>
      <c r="B792" s="3" t="inlineStr">
        <is>
          <t>1200 - Bank</t>
        </is>
      </c>
      <c r="C792" s="3" t="inlineStr">
        <is>
          <t>Fin: APPLEGREEN M1 LISBURN,APPLEG,LISBUR</t>
        </is>
      </c>
      <c r="D792" s="3" t="inlineStr"/>
      <c r="E792" s="4" t="n"/>
      <c r="F792" s="4" t="n">
        <v>5.45</v>
      </c>
      <c r="G792" s="4">
        <f>G791+E792-F792</f>
        <v/>
      </c>
    </row>
    <row r="793">
      <c r="A793" t="inlineStr">
        <is>
          <t>03/02/2025</t>
        </is>
      </c>
      <c r="B793" t="inlineStr">
        <is>
          <t>1200 - Bank</t>
        </is>
      </c>
      <c r="C793" t="inlineStr">
        <is>
          <t>Fin: APPLEGREEN M1 LISBURN,APPLEG,LISBUR</t>
        </is>
      </c>
      <c r="D793" t="inlineStr"/>
      <c r="E793" s="5" t="n"/>
      <c r="F793" s="5" t="n">
        <v>7.19</v>
      </c>
      <c r="G793" s="5">
        <f>G792+E793-F793</f>
        <v/>
      </c>
    </row>
    <row r="794">
      <c r="A794" s="3" t="inlineStr">
        <is>
          <t>03/02/2025</t>
        </is>
      </c>
      <c r="B794" s="3" t="inlineStr">
        <is>
          <t>1200 - Bank</t>
        </is>
      </c>
      <c r="C794" s="3" t="inlineStr">
        <is>
          <t>Fin: APPLEGREEN M1 LISBURN,APPLEG,LISBUR</t>
        </is>
      </c>
      <c r="D794" s="3" t="inlineStr"/>
      <c r="E794" s="4" t="n"/>
      <c r="F794" s="4" t="n">
        <v>7.25</v>
      </c>
      <c r="G794" s="4">
        <f>G793+E794-F794</f>
        <v/>
      </c>
    </row>
    <row r="795">
      <c r="A795" t="inlineStr">
        <is>
          <t>03/02/2025</t>
        </is>
      </c>
      <c r="B795" t="inlineStr">
        <is>
          <t>1200 - Bank</t>
        </is>
      </c>
      <c r="C795" t="inlineStr">
        <is>
          <t>Fin: APPLEGREEN M1 LISBURN,APPLEG,LISBUR</t>
        </is>
      </c>
      <c r="D795" t="inlineStr"/>
      <c r="E795" s="5" t="n"/>
      <c r="F795" s="5" t="n">
        <v>8.68</v>
      </c>
      <c r="G795" s="5">
        <f>G794+E795-F795</f>
        <v/>
      </c>
    </row>
    <row r="796">
      <c r="A796" s="3" t="inlineStr">
        <is>
          <t>03/02/2025</t>
        </is>
      </c>
      <c r="B796" s="3" t="inlineStr">
        <is>
          <t>1200 - Bank</t>
        </is>
      </c>
      <c r="C796" s="3" t="inlineStr">
        <is>
          <t>Fin: APPLEGREEN MSA M1CASTL,DROMISKIN 20.20 EUR XR 1.193148</t>
        </is>
      </c>
      <c r="D796" s="3" t="inlineStr"/>
      <c r="E796" s="4" t="n"/>
      <c r="F796" s="4" t="n">
        <v>16.93</v>
      </c>
      <c r="G796" s="4">
        <f>G795+E796-F796</f>
        <v/>
      </c>
    </row>
    <row r="797">
      <c r="A797" t="inlineStr">
        <is>
          <t>03/02/2025</t>
        </is>
      </c>
      <c r="B797" t="inlineStr">
        <is>
          <t>1200 - Bank</t>
        </is>
      </c>
      <c r="C797" t="inlineStr">
        <is>
          <t>Fin: APPLEGREEN MSA M1CASTL,DROMISKIN 6.40 EUR XR 1.194030</t>
        </is>
      </c>
      <c r="D797" t="inlineStr"/>
      <c r="E797" s="5" t="n"/>
      <c r="F797" s="5" t="n">
        <v>5.36</v>
      </c>
      <c r="G797" s="5">
        <f>G796+E797-F797</f>
        <v/>
      </c>
    </row>
    <row r="798">
      <c r="A798" s="3" t="inlineStr">
        <is>
          <t>03/02/2025</t>
        </is>
      </c>
      <c r="B798" s="3" t="inlineStr">
        <is>
          <t>1200 - Bank</t>
        </is>
      </c>
      <c r="C798" s="3" t="inlineStr">
        <is>
          <t>Fin: CHURCH OF SCIENTOLOGY,TALLAGHT 4.80 EUR XR 1.194030</t>
        </is>
      </c>
      <c r="D798" s="3" t="inlineStr"/>
      <c r="E798" s="4" t="n"/>
      <c r="F798" s="4" t="n">
        <v>4.02</v>
      </c>
      <c r="G798" s="4">
        <f>G797+E798-F798</f>
        <v/>
      </c>
    </row>
    <row r="799">
      <c r="A799" t="inlineStr">
        <is>
          <t>03/02/2025</t>
        </is>
      </c>
      <c r="B799" t="inlineStr">
        <is>
          <t>1200 - Bank</t>
        </is>
      </c>
      <c r="C799" t="inlineStr">
        <is>
          <t>Fin: CO-OP GROUP 140006,Old Park Road</t>
        </is>
      </c>
      <c r="D799" t="inlineStr"/>
      <c r="E799" s="5" t="n"/>
      <c r="F799" s="5" t="n">
        <v>25.4</v>
      </c>
      <c r="G799" s="5">
        <f>G798+E799-F799</f>
        <v/>
      </c>
    </row>
    <row r="800">
      <c r="A800" s="3" t="inlineStr">
        <is>
          <t>03/02/2025</t>
        </is>
      </c>
      <c r="B800" s="3" t="inlineStr">
        <is>
          <t>1200 - Bank</t>
        </is>
      </c>
      <c r="C800" s="3" t="inlineStr">
        <is>
          <t>Fin: GUESS OUTLET UNIT 32,KILDARE TOWN 13.50 EUR XR 1.193634</t>
        </is>
      </c>
      <c r="D800" s="3" t="inlineStr"/>
      <c r="E800" s="4" t="n"/>
      <c r="F800" s="4" t="n">
        <v>11.31</v>
      </c>
      <c r="G800" s="4">
        <f>G799+E800-F800</f>
        <v/>
      </c>
    </row>
    <row r="801">
      <c r="A801" t="inlineStr">
        <is>
          <t>03/02/2025</t>
        </is>
      </c>
      <c r="B801" t="inlineStr">
        <is>
          <t>1200 - Bank</t>
        </is>
      </c>
      <c r="C801" t="inlineStr">
        <is>
          <t>Fin: Hilfiger Stores Irelan,Kildare 111.20 EUR XR 1.193261</t>
        </is>
      </c>
      <c r="D801" t="inlineStr"/>
      <c r="E801" s="5" t="n"/>
      <c r="F801" s="5" t="n">
        <v>93.19</v>
      </c>
      <c r="G801" s="5">
        <f>G800+E801-F801</f>
        <v/>
      </c>
    </row>
    <row r="802">
      <c r="A802" s="3" t="inlineStr">
        <is>
          <t>03/02/2025</t>
        </is>
      </c>
      <c r="B802" s="3" t="inlineStr">
        <is>
          <t>1200 - Bank</t>
        </is>
      </c>
      <c r="C802" s="3" t="inlineStr">
        <is>
          <t>Fin: L OFFICINA BY DUNNE AN,KILDARE 59.50 EUR XR 1.193341</t>
        </is>
      </c>
      <c r="D802" s="3" t="inlineStr"/>
      <c r="E802" s="4" t="n"/>
      <c r="F802" s="4" t="n">
        <v>49.86</v>
      </c>
      <c r="G802" s="4">
        <f>G801+E802-F802</f>
        <v/>
      </c>
    </row>
    <row r="803">
      <c r="A803" t="inlineStr">
        <is>
          <t>03/02/2025</t>
        </is>
      </c>
      <c r="B803" t="inlineStr">
        <is>
          <t>1200 - Bank</t>
        </is>
      </c>
      <c r="C803" t="inlineStr">
        <is>
          <t>Fin: New Balance *8861,Nurney Roa,Kildar 157.70 EUR XR 1.193341</t>
        </is>
      </c>
      <c r="D803" t="inlineStr"/>
      <c r="E803" s="5" t="n"/>
      <c r="F803" s="5" t="n">
        <v>132.15</v>
      </c>
      <c r="G803" s="5">
        <f>G802+E803-F803</f>
        <v/>
      </c>
    </row>
    <row r="804">
      <c r="A804" s="3" t="inlineStr">
        <is>
          <t>03/02/2025</t>
        </is>
      </c>
      <c r="B804" s="3" t="inlineStr">
        <is>
          <t>1200 - Bank</t>
        </is>
      </c>
      <c r="C804" s="3" t="inlineStr">
        <is>
          <t>Fin: New Balance *8861,Nurney Roa,Kildar 54.40 EUR XR 1.193244</t>
        </is>
      </c>
      <c r="D804" s="3" t="inlineStr"/>
      <c r="E804" s="4" t="n"/>
      <c r="F804" s="4" t="n">
        <v>45.59</v>
      </c>
      <c r="G804" s="4">
        <f>G803+E804-F804</f>
        <v/>
      </c>
    </row>
    <row r="805">
      <c r="A805" t="inlineStr">
        <is>
          <t>03/02/2025</t>
        </is>
      </c>
      <c r="B805" t="inlineStr">
        <is>
          <t>1200 - Bank</t>
        </is>
      </c>
      <c r="C805" t="inlineStr">
        <is>
          <t>Fin: Tommy Hilfiger,GRAFTON STREET,DUBLI 102.11 EUR XR 1.193292</t>
        </is>
      </c>
      <c r="D805" t="inlineStr"/>
      <c r="E805" s="5" t="n"/>
      <c r="F805" s="5" t="n">
        <v>85.56999999999999</v>
      </c>
      <c r="G805" s="5">
        <f>G804+E805-F805</f>
        <v/>
      </c>
    </row>
    <row r="806">
      <c r="A806" s="3" t="inlineStr">
        <is>
          <t>04/02/2025</t>
        </is>
      </c>
      <c r="B806" s="3" t="inlineStr">
        <is>
          <t>1200 - Bank</t>
        </is>
      </c>
      <c r="C806" s="3" t="inlineStr">
        <is>
          <t>Fin: CCS*Value Cabs 406,Newtownabbey</t>
        </is>
      </c>
      <c r="D806" s="3" t="inlineStr"/>
      <c r="E806" s="4" t="n"/>
      <c r="F806" s="4" t="n">
        <v>5</v>
      </c>
      <c r="G806" s="4">
        <f>G805+E806-F806</f>
        <v/>
      </c>
    </row>
    <row r="807">
      <c r="A807" t="inlineStr">
        <is>
          <t>04/02/2025</t>
        </is>
      </c>
      <c r="B807" t="inlineStr">
        <is>
          <t>1200 - Bank</t>
        </is>
      </c>
      <c r="C807" t="inlineStr">
        <is>
          <t>Fin: E07047700000000,FALLS ROAD, ,BELFAS</t>
        </is>
      </c>
      <c r="D807" t="inlineStr"/>
      <c r="E807" s="5" t="n"/>
      <c r="F807" s="5" t="n">
        <v>100</v>
      </c>
      <c r="G807" s="5">
        <f>G806+E807-F807</f>
        <v/>
      </c>
    </row>
    <row r="808">
      <c r="A808" s="3" t="inlineStr">
        <is>
          <t>04/02/2025</t>
        </is>
      </c>
      <c r="B808" s="3" t="inlineStr">
        <is>
          <t>1200 - Bank</t>
        </is>
      </c>
      <c r="C808" s="3" t="inlineStr">
        <is>
          <t>Fin: MURPHY'S STORE,107 ALLIANCE ,BELFAS</t>
        </is>
      </c>
      <c r="D808" s="3" t="inlineStr"/>
      <c r="E808" s="4" t="n"/>
      <c r="F808" s="4" t="n">
        <v>11.22</v>
      </c>
      <c r="G808" s="4">
        <f>G807+E808-F808</f>
        <v/>
      </c>
    </row>
    <row r="809">
      <c r="A809" t="inlineStr">
        <is>
          <t>04/02/2025</t>
        </is>
      </c>
      <c r="B809" t="inlineStr">
        <is>
          <t>1200 - Bank</t>
        </is>
      </c>
      <c r="C809" t="inlineStr">
        <is>
          <t>Fin: SLIM CHICKENS,UNIT 6,BELFAST</t>
        </is>
      </c>
      <c r="D809" t="inlineStr"/>
      <c r="E809" s="5" t="n"/>
      <c r="F809" s="5" t="n">
        <v>19.1</v>
      </c>
      <c r="G809" s="5">
        <f>G808+E809-F809</f>
        <v/>
      </c>
    </row>
    <row r="810">
      <c r="A810" s="3" t="inlineStr">
        <is>
          <t>04/02/2025</t>
        </is>
      </c>
      <c r="B810" s="3" t="inlineStr">
        <is>
          <t>1200 - Bank</t>
        </is>
      </c>
      <c r="C810" s="3" t="inlineStr">
        <is>
          <t>Fin: VIVO ESSENTIALS,935-937 CRUM,BELFAS</t>
        </is>
      </c>
      <c r="D810" s="3" t="inlineStr"/>
      <c r="E810" s="4" t="n"/>
      <c r="F810" s="4" t="n">
        <v>1.65</v>
      </c>
      <c r="G810" s="4">
        <f>G809+E810-F810</f>
        <v/>
      </c>
    </row>
    <row r="811">
      <c r="A811" t="inlineStr">
        <is>
          <t>04/02/2025</t>
        </is>
      </c>
      <c r="B811" t="inlineStr">
        <is>
          <t>1200 - Bank</t>
        </is>
      </c>
      <c r="C811" t="inlineStr">
        <is>
          <t>Fin: WINEMARK,470 OLDPARK ROAD,BELFAST</t>
        </is>
      </c>
      <c r="D811" t="inlineStr"/>
      <c r="E811" s="5" t="n"/>
      <c r="F811" s="5" t="n">
        <v>25.02</v>
      </c>
      <c r="G811" s="5">
        <f>G810+E811-F811</f>
        <v/>
      </c>
    </row>
    <row r="812">
      <c r="A812" s="3" t="inlineStr">
        <is>
          <t>05/02/2025</t>
        </is>
      </c>
      <c r="B812" s="3" t="inlineStr">
        <is>
          <t>1200 - Bank</t>
        </is>
      </c>
      <c r="C812" s="3" t="inlineStr">
        <is>
          <t>Fin: CO-OP GROUP 140006,Old Park Road</t>
        </is>
      </c>
      <c r="D812" s="3" t="inlineStr"/>
      <c r="E812" s="4" t="n"/>
      <c r="F812" s="4" t="n">
        <v>12.95</v>
      </c>
      <c r="G812" s="4">
        <f>G811+E812-F812</f>
        <v/>
      </c>
    </row>
    <row r="813">
      <c r="A813" t="inlineStr">
        <is>
          <t>05/02/2025</t>
        </is>
      </c>
      <c r="B813" t="inlineStr">
        <is>
          <t>1200 - Bank</t>
        </is>
      </c>
      <c r="C813" t="inlineStr">
        <is>
          <t>Fin: E07047700000000,FALLS ROAD, ,BELFAS</t>
        </is>
      </c>
      <c r="D813" t="inlineStr"/>
      <c r="E813" s="5" t="n"/>
      <c r="F813" s="5" t="n">
        <v>500</v>
      </c>
      <c r="G813" s="5">
        <f>G812+E813-F813</f>
        <v/>
      </c>
    </row>
    <row r="814">
      <c r="A814" s="3" t="inlineStr">
        <is>
          <t>05/02/2025</t>
        </is>
      </c>
      <c r="B814" s="3" t="inlineStr">
        <is>
          <t>1200 - Bank</t>
        </is>
      </c>
      <c r="C814" s="3" t="inlineStr">
        <is>
          <t>Fin: FUNKY MONKEYS TILL 1,KENNEDY,BELFAS</t>
        </is>
      </c>
      <c r="D814" s="3" t="inlineStr"/>
      <c r="E814" s="4" t="n"/>
      <c r="F814" s="4" t="n">
        <v>6.5</v>
      </c>
      <c r="G814" s="4">
        <f>G813+E814-F814</f>
        <v/>
      </c>
    </row>
    <row r="815">
      <c r="A815" t="inlineStr">
        <is>
          <t>05/02/2025</t>
        </is>
      </c>
      <c r="B815" t="inlineStr">
        <is>
          <t>1200 - Bank</t>
        </is>
      </c>
      <c r="C815" t="inlineStr">
        <is>
          <t>Fin: FUNKY MONKEYS TILL 2,67 BALLY,ANTRI</t>
        </is>
      </c>
      <c r="D815" t="inlineStr"/>
      <c r="E815" s="5" t="n"/>
      <c r="F815" s="5" t="n">
        <v>2.45</v>
      </c>
      <c r="G815" s="5">
        <f>G814+E815-F815</f>
        <v/>
      </c>
    </row>
    <row r="816">
      <c r="A816" s="3" t="inlineStr">
        <is>
          <t>05/02/2025</t>
        </is>
      </c>
      <c r="B816" s="3" t="inlineStr">
        <is>
          <t>1200 - Bank</t>
        </is>
      </c>
      <c r="C816" s="3" t="inlineStr">
        <is>
          <t>Fin: FUNKY MONKEYS TILL 2,67 BALLY,ANTRI</t>
        </is>
      </c>
      <c r="D816" s="3" t="inlineStr"/>
      <c r="E816" s="4" t="n"/>
      <c r="F816" s="4" t="n">
        <v>4.05</v>
      </c>
      <c r="G816" s="4">
        <f>G815+E816-F816</f>
        <v/>
      </c>
    </row>
    <row r="817">
      <c r="A817" t="inlineStr">
        <is>
          <t>05/02/2025</t>
        </is>
      </c>
      <c r="B817" t="inlineStr">
        <is>
          <t>1200 - Bank</t>
        </is>
      </c>
      <c r="C817" t="inlineStr">
        <is>
          <t>Fin: MAXOL EDENDERRY SSTN,298 CRU,BELFAS</t>
        </is>
      </c>
      <c r="D817" t="inlineStr"/>
      <c r="E817" s="5" t="n"/>
      <c r="F817" s="5" t="n">
        <v>20</v>
      </c>
      <c r="G817" s="5">
        <f>G816+E817-F817</f>
        <v/>
      </c>
    </row>
    <row r="818">
      <c r="A818" s="3" t="inlineStr">
        <is>
          <t>05/02/2025</t>
        </is>
      </c>
      <c r="B818" s="3" t="inlineStr">
        <is>
          <t>1200 - Bank</t>
        </is>
      </c>
      <c r="C818" s="3" t="inlineStr">
        <is>
          <t>Fin: MUSGRAVE MARKET PLACE,1-15 D,BELFAS</t>
        </is>
      </c>
      <c r="D818" s="3" t="inlineStr"/>
      <c r="E818" s="4" t="n"/>
      <c r="F818" s="4" t="n">
        <v>17.27</v>
      </c>
      <c r="G818" s="4">
        <f>G817+E818-F818</f>
        <v/>
      </c>
    </row>
    <row r="819">
      <c r="A819" t="inlineStr">
        <is>
          <t>05/02/2025</t>
        </is>
      </c>
      <c r="B819" t="inlineStr">
        <is>
          <t>1200 - Bank</t>
        </is>
      </c>
      <c r="C819" t="inlineStr">
        <is>
          <t>Fin: SumUp *Toys Galore,120 Moun,Belfas</t>
        </is>
      </c>
      <c r="D819" t="inlineStr"/>
      <c r="E819" s="5" t="n"/>
      <c r="F819" s="5" t="n">
        <v>9.5</v>
      </c>
      <c r="G819" s="5">
        <f>G818+E819-F819</f>
        <v/>
      </c>
    </row>
    <row r="820">
      <c r="A820" s="3" t="inlineStr">
        <is>
          <t>05/02/2025</t>
        </is>
      </c>
      <c r="B820" s="3" t="inlineStr">
        <is>
          <t>1200 - Bank</t>
        </is>
      </c>
      <c r="C820" s="3" t="inlineStr">
        <is>
          <t>Fin: THE RUG SHOP,KENNEDY CENTRE ,BELFAS</t>
        </is>
      </c>
      <c r="D820" s="3" t="inlineStr"/>
      <c r="E820" s="4" t="n"/>
      <c r="F820" s="4" t="n">
        <v>63</v>
      </c>
      <c r="G820" s="4">
        <f>G819+E820-F820</f>
        <v/>
      </c>
    </row>
    <row r="821">
      <c r="A821" t="inlineStr">
        <is>
          <t>05/02/2025</t>
        </is>
      </c>
      <c r="B821" t="inlineStr">
        <is>
          <t>1200 - Bank</t>
        </is>
      </c>
      <c r="C821" t="inlineStr">
        <is>
          <t>Fin: ULSTER BANK NORTH,SPAR CLIFT,BELFAS</t>
        </is>
      </c>
      <c r="D821" t="inlineStr"/>
      <c r="E821" s="5" t="n"/>
      <c r="F821" s="5" t="n">
        <v>30</v>
      </c>
      <c r="G821" s="5">
        <f>G820+E821-F821</f>
        <v/>
      </c>
    </row>
    <row r="822">
      <c r="A822" s="3" t="inlineStr">
        <is>
          <t>06/02/2025</t>
        </is>
      </c>
      <c r="B822" s="3" t="inlineStr">
        <is>
          <t>1200 - Bank</t>
        </is>
      </c>
      <c r="C822" s="3" t="inlineStr">
        <is>
          <t>**** Cashback ****</t>
        </is>
      </c>
      <c r="D822" s="3" t="inlineStr"/>
      <c r="E822" s="4" t="n">
        <v>7.7</v>
      </c>
      <c r="F822" s="4" t="n"/>
      <c r="G822" s="4">
        <f>G821+E822-F822</f>
        <v/>
      </c>
    </row>
    <row r="823">
      <c r="A823" t="inlineStr">
        <is>
          <t>06/02/2025</t>
        </is>
      </c>
      <c r="B823" t="inlineStr">
        <is>
          <t>1200 - Bank</t>
        </is>
      </c>
      <c r="C823" t="inlineStr">
        <is>
          <t>Fin: APPLEGREEN M1 LISBURN,TYLLYN,LISBUR</t>
        </is>
      </c>
      <c r="D823" t="inlineStr"/>
      <c r="E823" s="5" t="n"/>
      <c r="F823" s="5" t="n">
        <v>13.89</v>
      </c>
      <c r="G823" s="5">
        <f>G822+E823-F823</f>
        <v/>
      </c>
    </row>
    <row r="824">
      <c r="A824" s="3" t="inlineStr">
        <is>
          <t>06/02/2025</t>
        </is>
      </c>
      <c r="B824" s="3" t="inlineStr">
        <is>
          <t>1200 - Bank</t>
        </is>
      </c>
      <c r="C824" s="3" t="inlineStr">
        <is>
          <t>Fin: CO-OP GROUP 140006,Old Park Road</t>
        </is>
      </c>
      <c r="D824" s="3" t="inlineStr"/>
      <c r="E824" s="4" t="n"/>
      <c r="F824" s="4" t="n">
        <v>15.91</v>
      </c>
      <c r="G824" s="4">
        <f>G823+E824-F824</f>
        <v/>
      </c>
    </row>
    <row r="825">
      <c r="A825" t="inlineStr">
        <is>
          <t>06/02/2025</t>
        </is>
      </c>
      <c r="B825" t="inlineStr">
        <is>
          <t>1200 - Bank</t>
        </is>
      </c>
      <c r="C825" t="inlineStr">
        <is>
          <t>Fin: CO-OP GROUP 140006,Old Park Road</t>
        </is>
      </c>
      <c r="D825" t="inlineStr"/>
      <c r="E825" s="5" t="n"/>
      <c r="F825" s="5" t="n">
        <v>18</v>
      </c>
      <c r="G825" s="5">
        <f>G824+E825-F825</f>
        <v/>
      </c>
    </row>
    <row r="826">
      <c r="A826" s="3" t="inlineStr">
        <is>
          <t>06/02/2025</t>
        </is>
      </c>
      <c r="B826" s="3" t="inlineStr">
        <is>
          <t>1200 - Bank</t>
        </is>
      </c>
      <c r="C826" s="3" t="inlineStr">
        <is>
          <t>Fin: CO-OP GROUP 140006,Old Park Road</t>
        </is>
      </c>
      <c r="D826" s="3" t="inlineStr"/>
      <c r="E826" s="4" t="n"/>
      <c r="F826" s="4" t="n">
        <v>20</v>
      </c>
      <c r="G826" s="4">
        <f>G825+E826-F826</f>
        <v/>
      </c>
    </row>
    <row r="827">
      <c r="A827" t="inlineStr">
        <is>
          <t>06/02/2025</t>
        </is>
      </c>
      <c r="B827" t="inlineStr">
        <is>
          <t>1200 - Bank</t>
        </is>
      </c>
      <c r="C827" t="inlineStr">
        <is>
          <t>Fin: E07047700000000,FALLS ROAD, ,BELFAS</t>
        </is>
      </c>
      <c r="D827" t="inlineStr"/>
      <c r="E827" s="5" t="n"/>
      <c r="F827" s="5" t="n">
        <v>500</v>
      </c>
      <c r="G827" s="5">
        <f>G826+E827-F827</f>
        <v/>
      </c>
    </row>
    <row r="828">
      <c r="A828" s="3" t="inlineStr">
        <is>
          <t>06/02/2025</t>
        </is>
      </c>
      <c r="B828" s="3" t="inlineStr">
        <is>
          <t>1200 - Bank</t>
        </is>
      </c>
      <c r="C828" s="3" t="inlineStr">
        <is>
          <t>Fin: FRUITERAMA,13 SPRINGFIELD RO,BELFAS</t>
        </is>
      </c>
      <c r="D828" s="3" t="inlineStr"/>
      <c r="E828" s="4" t="n"/>
      <c r="F828" s="4" t="n">
        <v>9.58</v>
      </c>
      <c r="G828" s="4">
        <f>G827+E828-F828</f>
        <v/>
      </c>
    </row>
    <row r="829">
      <c r="A829" t="inlineStr">
        <is>
          <t>06/02/2025</t>
        </is>
      </c>
      <c r="B829" t="inlineStr">
        <is>
          <t>1200 - Bank</t>
        </is>
      </c>
      <c r="C829" t="inlineStr">
        <is>
          <t>Fin: MAXOL EDENDERRY SSTN,298 CRU,BELFAS</t>
        </is>
      </c>
      <c r="D829" t="inlineStr"/>
      <c r="E829" s="5" t="n"/>
      <c r="F829" s="5" t="n">
        <v>47.5</v>
      </c>
      <c r="G829" s="5">
        <f>G828+E829-F829</f>
        <v/>
      </c>
    </row>
    <row r="830">
      <c r="A830" s="3" t="inlineStr">
        <is>
          <t>06/02/2025</t>
        </is>
      </c>
      <c r="B830" s="3" t="inlineStr">
        <is>
          <t>1200 - Bank</t>
        </is>
      </c>
      <c r="C830" s="3" t="inlineStr">
        <is>
          <t>Fin: SAINSBURYS S/MKTS,WEST BELFAST</t>
        </is>
      </c>
      <c r="D830" s="3" t="inlineStr"/>
      <c r="E830" s="4" t="n"/>
      <c r="F830" s="4" t="n">
        <v>12</v>
      </c>
      <c r="G830" s="4">
        <f>G829+E830-F830</f>
        <v/>
      </c>
    </row>
    <row r="831">
      <c r="A831" t="inlineStr">
        <is>
          <t>06/02/2025</t>
        </is>
      </c>
      <c r="B831" t="inlineStr">
        <is>
          <t>1200 - Bank</t>
        </is>
      </c>
      <c r="C831" t="inlineStr">
        <is>
          <t>Fin: SAINSBURYS SUPERMA,KENNEDY C,BELFAS</t>
        </is>
      </c>
      <c r="D831" t="inlineStr"/>
      <c r="E831" s="5" t="n"/>
      <c r="F831" s="5" t="n">
        <v>9.5</v>
      </c>
      <c r="G831" s="5">
        <f>G830+E831-F831</f>
        <v/>
      </c>
    </row>
    <row r="832">
      <c r="A832" s="3" t="inlineStr">
        <is>
          <t>06/02/2025</t>
        </is>
      </c>
      <c r="B832" s="3" t="inlineStr">
        <is>
          <t>1200 - Bank</t>
        </is>
      </c>
      <c r="C832" s="3" t="inlineStr">
        <is>
          <t>Fin: SPAR TWIN SPIRES,UNIT 17-21 ,BELFAS</t>
        </is>
      </c>
      <c r="D832" s="3" t="inlineStr"/>
      <c r="E832" s="4" t="n"/>
      <c r="F832" s="4" t="n">
        <v>9.08</v>
      </c>
      <c r="G832" s="4">
        <f>G831+E832-F832</f>
        <v/>
      </c>
    </row>
    <row r="833">
      <c r="A833" t="inlineStr">
        <is>
          <t>06/02/2025</t>
        </is>
      </c>
      <c r="B833" t="inlineStr">
        <is>
          <t>1200 - Bank</t>
        </is>
      </c>
      <c r="C833" t="inlineStr">
        <is>
          <t>Fin: TESCO STORES 5522,2 BALLYGOM,BELFAS</t>
        </is>
      </c>
      <c r="D833" t="inlineStr"/>
      <c r="E833" s="5" t="n"/>
      <c r="F833" s="5" t="n">
        <v>6</v>
      </c>
      <c r="G833" s="5">
        <f>G832+E833-F833</f>
        <v/>
      </c>
    </row>
    <row r="834">
      <c r="A834" s="3" t="inlineStr">
        <is>
          <t>07/02/2025</t>
        </is>
      </c>
      <c r="B834" s="3" t="inlineStr">
        <is>
          <t>1200 - Bank</t>
        </is>
      </c>
      <c r="C834" s="3" t="inlineStr">
        <is>
          <t>CSR NI LTD THE CSR GROUP</t>
        </is>
      </c>
      <c r="D834" s="3" t="inlineStr"/>
      <c r="E834" s="4" t="n">
        <v>2887.48</v>
      </c>
      <c r="F834" s="4" t="n"/>
      <c r="G834" s="4">
        <f>G833+E834-F834</f>
        <v/>
      </c>
    </row>
    <row r="835">
      <c r="A835" t="inlineStr">
        <is>
          <t>07/02/2025</t>
        </is>
      </c>
      <c r="B835" t="inlineStr">
        <is>
          <t>1200 - Bank</t>
        </is>
      </c>
      <c r="C835" t="inlineStr">
        <is>
          <t>Fin: E07040400000000,RAFFOS, 786,BELFAST</t>
        </is>
      </c>
      <c r="D835" t="inlineStr"/>
      <c r="E835" s="5" t="n"/>
      <c r="F835" s="5" t="n">
        <v>201.25</v>
      </c>
      <c r="G835" s="5">
        <f>G834+E835-F835</f>
        <v/>
      </c>
    </row>
    <row r="836">
      <c r="A836" s="3" t="inlineStr">
        <is>
          <t>07/02/2025</t>
        </is>
      </c>
      <c r="B836" s="3" t="inlineStr">
        <is>
          <t>1200 - Bank</t>
        </is>
      </c>
      <c r="C836" s="3" t="inlineStr">
        <is>
          <t>Fin: ENUK0481,CRUMLIN ROAD,BELFAST</t>
        </is>
      </c>
      <c r="D836" s="3" t="inlineStr"/>
      <c r="E836" s="4" t="n"/>
      <c r="F836" s="4" t="n">
        <v>180</v>
      </c>
      <c r="G836" s="4">
        <f>G835+E836-F836</f>
        <v/>
      </c>
    </row>
    <row r="837">
      <c r="A837" t="inlineStr">
        <is>
          <t>07/02/2025</t>
        </is>
      </c>
      <c r="B837" t="inlineStr">
        <is>
          <t>1200 - Bank</t>
        </is>
      </c>
      <c r="C837" t="inlineStr">
        <is>
          <t>Fin: MAXOL EDENDERRY SSTN,298 CRU,BELFAS</t>
        </is>
      </c>
      <c r="D837" t="inlineStr"/>
      <c r="E837" s="5" t="n"/>
      <c r="F837" s="5" t="n">
        <v>30</v>
      </c>
      <c r="G837" s="5">
        <f>G836+E837-F837</f>
        <v/>
      </c>
    </row>
    <row r="838">
      <c r="A838" s="3" t="inlineStr">
        <is>
          <t>07/02/2025</t>
        </is>
      </c>
      <c r="B838" s="3" t="inlineStr">
        <is>
          <t>1200 - Bank</t>
        </is>
      </c>
      <c r="C838" s="3" t="inlineStr">
        <is>
          <t>Fin: PPOINT_*Hugh's Confect,Belfast</t>
        </is>
      </c>
      <c r="D838" s="3" t="inlineStr"/>
      <c r="E838" s="4" t="n"/>
      <c r="F838" s="4" t="n">
        <v>15</v>
      </c>
      <c r="G838" s="4">
        <f>G837+E838-F838</f>
        <v/>
      </c>
    </row>
    <row r="839">
      <c r="A839" t="inlineStr">
        <is>
          <t>08/02/2025</t>
        </is>
      </c>
      <c r="B839" t="inlineStr">
        <is>
          <t>1200 - Bank</t>
        </is>
      </c>
      <c r="C839" t="inlineStr">
        <is>
          <t>Fin: 52 ARDOYNE AVENUE,BELFAST</t>
        </is>
      </c>
      <c r="D839" t="inlineStr"/>
      <c r="E839" s="5" t="n"/>
      <c r="F839" s="5" t="n">
        <v>150</v>
      </c>
      <c r="G839" s="5">
        <f>G838+E839-F839</f>
        <v/>
      </c>
    </row>
    <row r="840">
      <c r="A840" s="3" t="inlineStr">
        <is>
          <t>08/02/2025</t>
        </is>
      </c>
      <c r="B840" s="3" t="inlineStr">
        <is>
          <t>1200 - Bank</t>
        </is>
      </c>
      <c r="C840" s="3" t="inlineStr">
        <is>
          <t>Fin: COCA COLA NI,12 LISSUE ROAD L,ANTRI</t>
        </is>
      </c>
      <c r="D840" s="3" t="inlineStr"/>
      <c r="E840" s="4" t="n"/>
      <c r="F840" s="4" t="n">
        <v>2</v>
      </c>
      <c r="G840" s="4">
        <f>G839+E840-F840</f>
        <v/>
      </c>
    </row>
    <row r="841">
      <c r="A841" t="inlineStr">
        <is>
          <t>08/02/2025</t>
        </is>
      </c>
      <c r="B841" t="inlineStr">
        <is>
          <t>1200 - Bank</t>
        </is>
      </c>
      <c r="C841" t="inlineStr">
        <is>
          <t>Fin: E07047700000000,FALLS ROAD, ,BELFAS</t>
        </is>
      </c>
      <c r="D841" t="inlineStr"/>
      <c r="E841" s="5" t="n"/>
      <c r="F841" s="5" t="n">
        <v>500</v>
      </c>
      <c r="G841" s="5">
        <f>G840+E841-F841</f>
        <v/>
      </c>
    </row>
    <row r="842">
      <c r="A842" s="3" t="inlineStr">
        <is>
          <t>08/02/2025</t>
        </is>
      </c>
      <c r="B842" s="3" t="inlineStr">
        <is>
          <t>1200 - Bank</t>
        </is>
      </c>
      <c r="C842" s="3" t="inlineStr">
        <is>
          <t>Fin: MACE,703 SPRING,BELFAST BT12</t>
        </is>
      </c>
      <c r="D842" s="3" t="inlineStr"/>
      <c r="E842" s="4" t="n"/>
      <c r="F842" s="4" t="n">
        <v>31</v>
      </c>
      <c r="G842" s="4">
        <f>G841+E842-F842</f>
        <v/>
      </c>
    </row>
    <row r="843">
      <c r="A843" t="inlineStr">
        <is>
          <t>08/02/2025</t>
        </is>
      </c>
      <c r="B843" t="inlineStr">
        <is>
          <t>1200 - Bank</t>
        </is>
      </c>
      <c r="C843" t="inlineStr">
        <is>
          <t>Fin: MAXOL EDENDERRY SSTN,298 CRU,BELFAS</t>
        </is>
      </c>
      <c r="D843" t="inlineStr"/>
      <c r="E843" s="5" t="n"/>
      <c r="F843" s="5" t="n">
        <v>4</v>
      </c>
      <c r="G843" s="5">
        <f>G842+E843-F843</f>
        <v/>
      </c>
    </row>
    <row r="844">
      <c r="A844" s="3" t="inlineStr">
        <is>
          <t>08/02/2025</t>
        </is>
      </c>
      <c r="B844" s="3" t="inlineStr">
        <is>
          <t>1200 - Bank</t>
        </is>
      </c>
      <c r="C844" s="3" t="inlineStr">
        <is>
          <t>Fin: MCDONALDS 1525,SHORE ROAD,BELFAST</t>
        </is>
      </c>
      <c r="D844" s="3" t="inlineStr"/>
      <c r="E844" s="4" t="n"/>
      <c r="F844" s="4" t="n">
        <v>2.19</v>
      </c>
      <c r="G844" s="4">
        <f>G843+E844-F844</f>
        <v/>
      </c>
    </row>
    <row r="845">
      <c r="A845" t="inlineStr">
        <is>
          <t>08/02/2025</t>
        </is>
      </c>
      <c r="B845" t="inlineStr">
        <is>
          <t>1200 - Bank</t>
        </is>
      </c>
      <c r="C845" t="inlineStr">
        <is>
          <t>Fin: SQ *LITTLE ITALY,16 College S,Antri</t>
        </is>
      </c>
      <c r="D845" t="inlineStr"/>
      <c r="E845" s="5" t="n"/>
      <c r="F845" s="5" t="n">
        <v>32.45</v>
      </c>
      <c r="G845" s="5">
        <f>G844+E845-F845</f>
        <v/>
      </c>
    </row>
    <row r="846">
      <c r="A846" s="3" t="inlineStr">
        <is>
          <t>08/02/2025</t>
        </is>
      </c>
      <c r="B846" s="3" t="inlineStr">
        <is>
          <t>1200 - Bank</t>
        </is>
      </c>
      <c r="C846" s="3" t="inlineStr">
        <is>
          <t>Fin: ULSTER BANK NORTH,SPAR LIGON,BELFAS</t>
        </is>
      </c>
      <c r="D846" s="3" t="inlineStr"/>
      <c r="E846" s="4" t="n"/>
      <c r="F846" s="4" t="n">
        <v>20</v>
      </c>
      <c r="G846" s="4">
        <f>G845+E846-F846</f>
        <v/>
      </c>
    </row>
    <row r="847">
      <c r="A847" t="inlineStr">
        <is>
          <t>09/02/2025</t>
        </is>
      </c>
      <c r="B847" t="inlineStr">
        <is>
          <t>1200 - Bank</t>
        </is>
      </c>
      <c r="C847" t="inlineStr">
        <is>
          <t>R&amp;a revolot Gary revolution</t>
        </is>
      </c>
      <c r="D847" t="inlineStr"/>
      <c r="E847" s="5" t="n"/>
      <c r="F847" s="5" t="n">
        <v>250</v>
      </c>
      <c r="G847" s="5">
        <f>G846+E847-F847</f>
        <v/>
      </c>
    </row>
    <row r="848">
      <c r="A848" s="3" t="inlineStr">
        <is>
          <t>09/02/2025</t>
        </is>
      </c>
      <c r="B848" s="3" t="inlineStr">
        <is>
          <t>1200 - Bank</t>
        </is>
      </c>
      <c r="C848" s="3" t="inlineStr">
        <is>
          <t>R&amp;a revolot Gary revolution</t>
        </is>
      </c>
      <c r="D848" s="3" t="inlineStr"/>
      <c r="E848" s="4" t="n"/>
      <c r="F848" s="4" t="n">
        <v>50</v>
      </c>
      <c r="G848" s="4">
        <f>G847+E848-F848</f>
        <v/>
      </c>
    </row>
    <row r="849">
      <c r="A849" t="inlineStr">
        <is>
          <t>09/02/2025</t>
        </is>
      </c>
      <c r="B849" t="inlineStr">
        <is>
          <t>1200 - Bank</t>
        </is>
      </c>
      <c r="C849" t="inlineStr">
        <is>
          <t>R&amp;a revolot Gary revolution</t>
        </is>
      </c>
      <c r="D849" t="inlineStr"/>
      <c r="E849" s="5" t="n"/>
      <c r="F849" s="5" t="n">
        <v>500</v>
      </c>
      <c r="G849" s="5">
        <f>G848+E849-F849</f>
        <v/>
      </c>
    </row>
    <row r="850">
      <c r="A850" s="3" t="inlineStr">
        <is>
          <t>10/02/2025</t>
        </is>
      </c>
      <c r="B850" s="3" t="inlineStr">
        <is>
          <t>1200 - Bank</t>
        </is>
      </c>
      <c r="C850" s="3" t="inlineStr">
        <is>
          <t>Fin: AUTOPARTS DIRECT LIMIT,BELFAST</t>
        </is>
      </c>
      <c r="D850" s="3" t="inlineStr"/>
      <c r="E850" s="4" t="n"/>
      <c r="F850" s="4" t="n">
        <v>20</v>
      </c>
      <c r="G850" s="4">
        <f>G849+E850-F850</f>
        <v/>
      </c>
    </row>
    <row r="851">
      <c r="A851" t="inlineStr">
        <is>
          <t>10/02/2025</t>
        </is>
      </c>
      <c r="B851" t="inlineStr">
        <is>
          <t>1200 - Bank</t>
        </is>
      </c>
      <c r="C851" t="inlineStr">
        <is>
          <t>Fin: CO-OP GROUP 140006,Old Park Road</t>
        </is>
      </c>
      <c r="D851" t="inlineStr"/>
      <c r="E851" s="5" t="n"/>
      <c r="F851" s="5" t="n">
        <v>74.79000000000001</v>
      </c>
      <c r="G851" s="5">
        <f>G850+E851-F851</f>
        <v/>
      </c>
    </row>
    <row r="852">
      <c r="A852" s="3" t="inlineStr">
        <is>
          <t>10/02/2025</t>
        </is>
      </c>
      <c r="B852" s="3" t="inlineStr">
        <is>
          <t>1200 - Bank</t>
        </is>
      </c>
      <c r="C852" s="3" t="inlineStr">
        <is>
          <t>Fin: DMD (BELFAST) LTD,261 GROSVE,BELFAS</t>
        </is>
      </c>
      <c r="D852" s="3" t="inlineStr"/>
      <c r="E852" s="4" t="n"/>
      <c r="F852" s="4" t="n">
        <v>12.97</v>
      </c>
      <c r="G852" s="4">
        <f>G851+E852-F852</f>
        <v/>
      </c>
    </row>
    <row r="853">
      <c r="A853" t="inlineStr">
        <is>
          <t>10/02/2025</t>
        </is>
      </c>
      <c r="B853" t="inlineStr">
        <is>
          <t>1200 - Bank</t>
        </is>
      </c>
      <c r="C853" t="inlineStr">
        <is>
          <t>Fin: E07047700000000,FALLS ROAD, ,BELFAS</t>
        </is>
      </c>
      <c r="D853" t="inlineStr"/>
      <c r="E853" s="5" t="n"/>
      <c r="F853" s="5" t="n">
        <v>350</v>
      </c>
      <c r="G853" s="5">
        <f>G852+E853-F853</f>
        <v/>
      </c>
    </row>
    <row r="854">
      <c r="A854" s="3" t="inlineStr">
        <is>
          <t>10/02/2025</t>
        </is>
      </c>
      <c r="B854" s="3" t="inlineStr">
        <is>
          <t>1200 - Bank</t>
        </is>
      </c>
      <c r="C854" s="3" t="inlineStr">
        <is>
          <t>Fin: E07047700000000,FALLS ROAD, ,BELFAS</t>
        </is>
      </c>
      <c r="D854" s="3" t="inlineStr"/>
      <c r="E854" s="4" t="n"/>
      <c r="F854" s="4" t="n">
        <v>500</v>
      </c>
      <c r="G854" s="4">
        <f>G853+E854-F854</f>
        <v/>
      </c>
    </row>
    <row r="855">
      <c r="A855" t="inlineStr">
        <is>
          <t>10/02/2025</t>
        </is>
      </c>
      <c r="B855" t="inlineStr">
        <is>
          <t>1200 - Bank</t>
        </is>
      </c>
      <c r="C855" t="inlineStr">
        <is>
          <t>Fin: FLAX EUROSPAR,60 ARDOYNE AVE,BELFAS</t>
        </is>
      </c>
      <c r="D855" t="inlineStr"/>
      <c r="E855" s="5" t="n"/>
      <c r="F855" s="5" t="n">
        <v>7.85</v>
      </c>
      <c r="G855" s="5">
        <f>G854+E855-F855</f>
        <v/>
      </c>
    </row>
    <row r="856">
      <c r="A856" s="3" t="inlineStr">
        <is>
          <t>10/02/2025</t>
        </is>
      </c>
      <c r="B856" s="3" t="inlineStr">
        <is>
          <t>1200 - Bank</t>
        </is>
      </c>
      <c r="C856" s="3" t="inlineStr">
        <is>
          <t>Fin: MURPHY'S STORE,107 ALLIANCE ,BELFAS</t>
        </is>
      </c>
      <c r="D856" s="3" t="inlineStr"/>
      <c r="E856" s="4" t="n"/>
      <c r="F856" s="4" t="n">
        <v>1.79</v>
      </c>
      <c r="G856" s="4">
        <f>G855+E856-F856</f>
        <v/>
      </c>
    </row>
    <row r="857">
      <c r="A857" t="inlineStr">
        <is>
          <t>10/02/2025</t>
        </is>
      </c>
      <c r="B857" t="inlineStr">
        <is>
          <t>1200 - Bank</t>
        </is>
      </c>
      <c r="C857" t="inlineStr">
        <is>
          <t>Fin: ROYAL VICTORIA HOSPITA,51 LISBURN R</t>
        </is>
      </c>
      <c r="D857" t="inlineStr"/>
      <c r="E857" s="5" t="n"/>
      <c r="F857" s="5" t="n">
        <v>1.6</v>
      </c>
      <c r="G857" s="5">
        <f>G856+E857-F857</f>
        <v/>
      </c>
    </row>
    <row r="858">
      <c r="A858" s="3" t="inlineStr">
        <is>
          <t>10/02/2025</t>
        </is>
      </c>
      <c r="B858" s="3" t="inlineStr">
        <is>
          <t>1200 - Bank</t>
        </is>
      </c>
      <c r="C858" s="3" t="inlineStr">
        <is>
          <t>Fin: SPAR TWIN SPIRES,UNIT 17-21 ,BELFAS</t>
        </is>
      </c>
      <c r="D858" s="3" t="inlineStr"/>
      <c r="E858" s="4" t="n"/>
      <c r="F858" s="4" t="n">
        <v>24.76</v>
      </c>
      <c r="G858" s="4">
        <f>G857+E858-F858</f>
        <v/>
      </c>
    </row>
    <row r="859">
      <c r="A859" t="inlineStr">
        <is>
          <t>10/02/2025</t>
        </is>
      </c>
      <c r="B859" t="inlineStr">
        <is>
          <t>1200 - Bank</t>
        </is>
      </c>
      <c r="C859" t="inlineStr">
        <is>
          <t>Fin: SPAR TWIN SPIRES,UNIT 17-21 ,BELFAS</t>
        </is>
      </c>
      <c r="D859" t="inlineStr"/>
      <c r="E859" s="5" t="n"/>
      <c r="F859" s="5" t="n">
        <v>30</v>
      </c>
      <c r="G859" s="5">
        <f>G858+E859-F859</f>
        <v/>
      </c>
    </row>
    <row r="860">
      <c r="A860" s="3" t="inlineStr">
        <is>
          <t>10/02/2025</t>
        </is>
      </c>
      <c r="B860" s="3" t="inlineStr">
        <is>
          <t>1200 - Bank</t>
        </is>
      </c>
      <c r="C860" s="3" t="inlineStr">
        <is>
          <t>Fin: SPAR TWIN SPIRES,UNIT 17-21 ,BELFAS</t>
        </is>
      </c>
      <c r="D860" s="3" t="inlineStr"/>
      <c r="E860" s="4" t="n"/>
      <c r="F860" s="4" t="n">
        <v>5</v>
      </c>
      <c r="G860" s="4">
        <f>G859+E860-F860</f>
        <v/>
      </c>
    </row>
    <row r="861">
      <c r="A861" t="inlineStr">
        <is>
          <t>10/02/2025</t>
        </is>
      </c>
      <c r="B861" t="inlineStr">
        <is>
          <t>1200 - Bank</t>
        </is>
      </c>
      <c r="C861" t="inlineStr">
        <is>
          <t>tina brown tina</t>
        </is>
      </c>
      <c r="D861" t="inlineStr"/>
      <c r="E861" s="5" t="n"/>
      <c r="F861" s="5" t="n">
        <v>25</v>
      </c>
      <c r="G861" s="5">
        <f>G860+E861-F861</f>
        <v/>
      </c>
    </row>
    <row r="862">
      <c r="A862" s="3" t="inlineStr">
        <is>
          <t>11/02/2025</t>
        </is>
      </c>
      <c r="B862" s="3" t="inlineStr">
        <is>
          <t>1200 - Bank</t>
        </is>
      </c>
      <c r="C862" s="3" t="inlineStr">
        <is>
          <t>Fee: Card Management</t>
        </is>
      </c>
      <c r="D862" s="3" t="inlineStr"/>
      <c r="E862" s="4" t="n"/>
      <c r="F862" s="4" t="n">
        <v>9</v>
      </c>
      <c r="G862" s="4">
        <f>G861+E862-F862</f>
        <v/>
      </c>
    </row>
    <row r="863">
      <c r="A863" t="inlineStr">
        <is>
          <t>11/02/2025</t>
        </is>
      </c>
      <c r="B863" t="inlineStr">
        <is>
          <t>1200 - Bank</t>
        </is>
      </c>
      <c r="C863" t="inlineStr">
        <is>
          <t>Fin: APPLEGREEN M1 LISBURN,APPLEG,LISBUR</t>
        </is>
      </c>
      <c r="D863" t="inlineStr"/>
      <c r="E863" s="5" t="n"/>
      <c r="F863" s="5" t="n">
        <v>32.34</v>
      </c>
      <c r="G863" s="5">
        <f>G862+E863-F863</f>
        <v/>
      </c>
    </row>
    <row r="864">
      <c r="A864" s="3" t="inlineStr">
        <is>
          <t>11/02/2025</t>
        </is>
      </c>
      <c r="B864" s="3" t="inlineStr">
        <is>
          <t>1200 - Bank</t>
        </is>
      </c>
      <c r="C864" s="3" t="inlineStr">
        <is>
          <t>Fin: HUGHES INSURANCE,Ecomm 4,NEWTOWNARD</t>
        </is>
      </c>
      <c r="D864" s="3" t="inlineStr"/>
      <c r="E864" s="4" t="n"/>
      <c r="F864" s="4" t="n">
        <v>125.56</v>
      </c>
      <c r="G864" s="4">
        <f>G863+E864-F864</f>
        <v/>
      </c>
    </row>
    <row r="865">
      <c r="A865" t="inlineStr">
        <is>
          <t>11/02/2025</t>
        </is>
      </c>
      <c r="B865" t="inlineStr">
        <is>
          <t>1200 - Bank</t>
        </is>
      </c>
      <c r="C865" t="inlineStr">
        <is>
          <t>Fin: MCDONALDS,KENNEDY WAY,BELFAST</t>
        </is>
      </c>
      <c r="D865" t="inlineStr"/>
      <c r="E865" s="5" t="n"/>
      <c r="F865" s="5" t="n">
        <v>4.48</v>
      </c>
      <c r="G865" s="5">
        <f>G864+E865-F865</f>
        <v/>
      </c>
    </row>
    <row r="866">
      <c r="A866" s="3" t="inlineStr">
        <is>
          <t>11/02/2025</t>
        </is>
      </c>
      <c r="B866" s="3" t="inlineStr">
        <is>
          <t>1200 - Bank</t>
        </is>
      </c>
      <c r="C866" s="3" t="inlineStr">
        <is>
          <t>UKAtmFee 08-02-25 5041883</t>
        </is>
      </c>
      <c r="D866" s="3" t="inlineStr"/>
      <c r="E866" s="4" t="n"/>
      <c r="F866" s="4" t="n">
        <v>3</v>
      </c>
      <c r="G866" s="4">
        <f>G865+E866-F866</f>
        <v/>
      </c>
    </row>
    <row r="867">
      <c r="A867" t="inlineStr">
        <is>
          <t>11/02/2025</t>
        </is>
      </c>
      <c r="B867" t="inlineStr">
        <is>
          <t>1200 - Bank</t>
        </is>
      </c>
      <c r="C867" t="inlineStr">
        <is>
          <t>PID 967163 [CDRJM6PJG3]</t>
        </is>
      </c>
      <c r="D867" t="inlineStr"/>
      <c r="E867" s="5" t="n">
        <v>0.98</v>
      </c>
      <c r="F867" s="5" t="n"/>
      <c r="G867" s="5">
        <f>G866+E867-F867</f>
        <v/>
      </c>
    </row>
    <row r="868">
      <c r="A868" s="3" t="inlineStr">
        <is>
          <t>12/02/2025</t>
        </is>
      </c>
      <c r="B868" s="3" t="inlineStr">
        <is>
          <t>1200 - Bank</t>
        </is>
      </c>
      <c r="C868" s="3" t="inlineStr">
        <is>
          <t>Fin: LANARK WAY FILLING STA,BELFAST</t>
        </is>
      </c>
      <c r="D868" s="3" t="inlineStr"/>
      <c r="E868" s="4" t="n"/>
      <c r="F868" s="4" t="n">
        <v>47.13</v>
      </c>
      <c r="G868" s="4">
        <f>G867+E868-F868</f>
        <v/>
      </c>
    </row>
    <row r="869">
      <c r="A869" t="inlineStr">
        <is>
          <t>12/02/2025</t>
        </is>
      </c>
      <c r="B869" t="inlineStr">
        <is>
          <t>1200 - Bank</t>
        </is>
      </c>
      <c r="C869" t="inlineStr">
        <is>
          <t>Fin: MAXOL SSTN FORTWILLIAM,BELFAST</t>
        </is>
      </c>
      <c r="D869" t="inlineStr"/>
      <c r="E869" s="5" t="n"/>
      <c r="F869" s="5" t="n">
        <v>13.33</v>
      </c>
      <c r="G869" s="5">
        <f>G868+E869-F869</f>
        <v/>
      </c>
    </row>
    <row r="870">
      <c r="A870" s="3" t="inlineStr">
        <is>
          <t>12/02/2025</t>
        </is>
      </c>
      <c r="B870" s="3" t="inlineStr">
        <is>
          <t>1200 - Bank</t>
        </is>
      </c>
      <c r="C870" s="3" t="inlineStr">
        <is>
          <t>Fin: MAXOL SSTN FORTWILLIAM,BELFAST</t>
        </is>
      </c>
      <c r="D870" s="3" t="inlineStr"/>
      <c r="E870" s="4" t="n"/>
      <c r="F870" s="4" t="n">
        <v>65.94</v>
      </c>
      <c r="G870" s="4">
        <f>G869+E870-F870</f>
        <v/>
      </c>
    </row>
    <row r="871">
      <c r="A871" t="inlineStr">
        <is>
          <t>12/02/2025</t>
        </is>
      </c>
      <c r="B871" t="inlineStr">
        <is>
          <t>1200 - Bank</t>
        </is>
      </c>
      <c r="C871" t="inlineStr">
        <is>
          <t>Fin: MCDONALDS 1674,BALLYGOMARTIN,BELFAS</t>
        </is>
      </c>
      <c r="D871" t="inlineStr"/>
      <c r="E871" s="5" t="n"/>
      <c r="F871" s="5" t="n">
        <v>4.97</v>
      </c>
      <c r="G871" s="5">
        <f>G870+E871-F871</f>
        <v/>
      </c>
    </row>
    <row r="872">
      <c r="A872" s="3" t="inlineStr">
        <is>
          <t>12/02/2025</t>
        </is>
      </c>
      <c r="B872" s="3" t="inlineStr">
        <is>
          <t>1200 - Bank</t>
        </is>
      </c>
      <c r="C872" s="3" t="inlineStr">
        <is>
          <t>Fin: SCREWFIX DIRECT,UNIT 2 ,BELFAST 173</t>
        </is>
      </c>
      <c r="D872" s="3" t="inlineStr"/>
      <c r="E872" s="4" t="n"/>
      <c r="F872" s="4" t="n">
        <v>19.99</v>
      </c>
      <c r="G872" s="4">
        <f>G871+E872-F872</f>
        <v/>
      </c>
    </row>
    <row r="873">
      <c r="A873" t="inlineStr">
        <is>
          <t>12/02/2025</t>
        </is>
      </c>
      <c r="B873" t="inlineStr">
        <is>
          <t>1200 - Bank</t>
        </is>
      </c>
      <c r="C873" t="inlineStr">
        <is>
          <t>Fin: WILCOMATIC SAINSBURYS,UNIT 5,CROYDO</t>
        </is>
      </c>
      <c r="D873" t="inlineStr"/>
      <c r="E873" s="5" t="n"/>
      <c r="F873" s="5" t="n">
        <v>9.5</v>
      </c>
      <c r="G873" s="5">
        <f>G872+E873-F873</f>
        <v/>
      </c>
    </row>
    <row r="874">
      <c r="A874" s="3" t="inlineStr">
        <is>
          <t>13/02/2025</t>
        </is>
      </c>
      <c r="B874" s="3" t="inlineStr">
        <is>
          <t>1200 - Bank</t>
        </is>
      </c>
      <c r="C874" s="3" t="inlineStr">
        <is>
          <t>BROWN T TINA</t>
        </is>
      </c>
      <c r="D874" s="3" t="inlineStr"/>
      <c r="E874" s="4" t="n">
        <v>10</v>
      </c>
      <c r="F874" s="4" t="n"/>
      <c r="G874" s="4">
        <f>G873+E874-F874</f>
        <v/>
      </c>
    </row>
    <row r="875">
      <c r="A875" t="inlineStr">
        <is>
          <t>13/02/2025</t>
        </is>
      </c>
      <c r="B875" t="inlineStr">
        <is>
          <t>1200 - Bank</t>
        </is>
      </c>
      <c r="C875" t="inlineStr">
        <is>
          <t>Fin: BELFAST INTERNATIONAL,BELFAS,BELFAS</t>
        </is>
      </c>
      <c r="D875" t="inlineStr"/>
      <c r="E875" s="5" t="n"/>
      <c r="F875" s="5" t="n">
        <v>3</v>
      </c>
      <c r="G875" s="5">
        <f>G874+E875-F875</f>
        <v/>
      </c>
    </row>
    <row r="876">
      <c r="A876" s="3" t="inlineStr">
        <is>
          <t>13/02/2025</t>
        </is>
      </c>
      <c r="B876" s="3" t="inlineStr">
        <is>
          <t>1200 - Bank</t>
        </is>
      </c>
      <c r="C876" s="3" t="inlineStr">
        <is>
          <t>Fin: SPAR CARROWDORE,50 MAIN S,CARROWDOR</t>
        </is>
      </c>
      <c r="D876" s="3" t="inlineStr"/>
      <c r="E876" s="4" t="n"/>
      <c r="F876" s="4" t="n">
        <v>8.24</v>
      </c>
      <c r="G876" s="4">
        <f>G875+E876-F876</f>
        <v/>
      </c>
    </row>
    <row r="877">
      <c r="A877" t="inlineStr">
        <is>
          <t>14/02/2025</t>
        </is>
      </c>
      <c r="B877" t="inlineStr">
        <is>
          <t>1200 - Bank</t>
        </is>
      </c>
      <c r="C877" t="inlineStr">
        <is>
          <t>BROWN T TINA</t>
        </is>
      </c>
      <c r="D877" t="inlineStr"/>
      <c r="E877" s="5" t="n">
        <v>10</v>
      </c>
      <c r="F877" s="5" t="n"/>
      <c r="G877" s="5">
        <f>G876+E877-F877</f>
        <v/>
      </c>
    </row>
    <row r="878">
      <c r="A878" s="3" t="inlineStr">
        <is>
          <t>14/02/2025</t>
        </is>
      </c>
      <c r="B878" s="3" t="inlineStr">
        <is>
          <t>1200 - Bank</t>
        </is>
      </c>
      <c r="C878" s="3" t="inlineStr">
        <is>
          <t>BROWN T TINA</t>
        </is>
      </c>
      <c r="D878" s="3" t="inlineStr"/>
      <c r="E878" s="4" t="n">
        <v>271</v>
      </c>
      <c r="F878" s="4" t="n"/>
      <c r="G878" s="4">
        <f>G877+E878-F878</f>
        <v/>
      </c>
    </row>
    <row r="879">
      <c r="A879" t="inlineStr">
        <is>
          <t>14/02/2025</t>
        </is>
      </c>
      <c r="B879" t="inlineStr">
        <is>
          <t>1200 - Bank</t>
        </is>
      </c>
      <c r="C879" t="inlineStr">
        <is>
          <t>CSR NI LTD THE CSR GROUP</t>
        </is>
      </c>
      <c r="D879" t="inlineStr"/>
      <c r="E879" s="5" t="n">
        <v>2533</v>
      </c>
      <c r="F879" s="5" t="n"/>
      <c r="G879" s="5">
        <f>G878+E879-F879</f>
        <v/>
      </c>
    </row>
    <row r="880">
      <c r="A880" s="3" t="inlineStr">
        <is>
          <t>14/02/2025</t>
        </is>
      </c>
      <c r="B880" s="3" t="inlineStr">
        <is>
          <t>1200 - Bank</t>
        </is>
      </c>
      <c r="C880" s="3" t="inlineStr">
        <is>
          <t>Fin: E07047700000000,FALLS ROAD, ,BELFAS</t>
        </is>
      </c>
      <c r="D880" s="3" t="inlineStr"/>
      <c r="E880" s="4" t="n"/>
      <c r="F880" s="4" t="n">
        <v>50</v>
      </c>
      <c r="G880" s="4">
        <f>G879+E880-F880</f>
        <v/>
      </c>
    </row>
    <row r="881">
      <c r="A881" t="inlineStr">
        <is>
          <t>14/02/2025</t>
        </is>
      </c>
      <c r="B881" t="inlineStr">
        <is>
          <t>1200 - Bank</t>
        </is>
      </c>
      <c r="C881" t="inlineStr">
        <is>
          <t>Fin: JAILTELE,27 Old Gloucester St,LONDO</t>
        </is>
      </c>
      <c r="D881" t="inlineStr"/>
      <c r="E881" s="5" t="n"/>
      <c r="F881" s="5" t="n">
        <v>10</v>
      </c>
      <c r="G881" s="5">
        <f>G880+E881-F881</f>
        <v/>
      </c>
    </row>
    <row r="882">
      <c r="A882" s="3" t="inlineStr">
        <is>
          <t>14/02/2025</t>
        </is>
      </c>
      <c r="B882" s="3" t="inlineStr">
        <is>
          <t>1200 - Bank</t>
        </is>
      </c>
      <c r="C882" s="3" t="inlineStr">
        <is>
          <t>Fin: McPeakes,Falls Road,Belfast,GBR</t>
        </is>
      </c>
      <c r="D882" s="3" t="inlineStr"/>
      <c r="E882" s="4" t="n"/>
      <c r="F882" s="4" t="n">
        <v>30</v>
      </c>
      <c r="G882" s="4">
        <f>G881+E882-F882</f>
        <v/>
      </c>
    </row>
    <row r="883">
      <c r="A883" t="inlineStr">
        <is>
          <t>14/02/2025</t>
        </is>
      </c>
      <c r="B883" t="inlineStr">
        <is>
          <t>1200 - Bank</t>
        </is>
      </c>
      <c r="C883" t="inlineStr">
        <is>
          <t>Sean paul mooney harry potter book</t>
        </is>
      </c>
      <c r="D883" t="inlineStr"/>
      <c r="E883" s="5" t="n"/>
      <c r="F883" s="5" t="n">
        <v>20</v>
      </c>
      <c r="G883" s="5">
        <f>G882+E883-F883</f>
        <v/>
      </c>
    </row>
    <row r="884">
      <c r="A884" s="3" t="inlineStr">
        <is>
          <t>14/02/2025</t>
        </is>
      </c>
      <c r="B884" s="3" t="inlineStr">
        <is>
          <t>1200 - Bank</t>
        </is>
      </c>
      <c r="C884" s="3" t="inlineStr">
        <is>
          <t>tina brown tina</t>
        </is>
      </c>
      <c r="D884" s="3" t="inlineStr"/>
      <c r="E884" s="4" t="n"/>
      <c r="F884" s="4" t="n">
        <v>180</v>
      </c>
      <c r="G884" s="4">
        <f>G883+E884-F884</f>
        <v/>
      </c>
    </row>
    <row r="885">
      <c r="A885" t="inlineStr">
        <is>
          <t>14/02/2025</t>
        </is>
      </c>
      <c r="B885" t="inlineStr">
        <is>
          <t>1200 - Bank</t>
        </is>
      </c>
      <c r="C885" t="inlineStr">
        <is>
          <t>tina brown tina</t>
        </is>
      </c>
      <c r="D885" t="inlineStr"/>
      <c r="E885" s="5" t="n"/>
      <c r="F885" s="5" t="n">
        <v>25</v>
      </c>
      <c r="G885" s="5">
        <f>G884+E885-F885</f>
        <v/>
      </c>
    </row>
    <row r="886">
      <c r="A886" s="3" t="inlineStr">
        <is>
          <t>15/02/2025</t>
        </is>
      </c>
      <c r="B886" s="3" t="inlineStr">
        <is>
          <t>1200 - Bank</t>
        </is>
      </c>
      <c r="C886" s="3" t="inlineStr">
        <is>
          <t>BROWN T TINA</t>
        </is>
      </c>
      <c r="D886" s="3" t="inlineStr"/>
      <c r="E886" s="4" t="n">
        <v>205</v>
      </c>
      <c r="F886" s="4" t="n"/>
      <c r="G886" s="4">
        <f>G885+E886-F886</f>
        <v/>
      </c>
    </row>
    <row r="887">
      <c r="A887" t="inlineStr">
        <is>
          <t>15/02/2025</t>
        </is>
      </c>
      <c r="B887" t="inlineStr">
        <is>
          <t>1200 - Bank</t>
        </is>
      </c>
      <c r="C887" t="inlineStr">
        <is>
          <t>Fin: ANDREAS,272 SHANKILL ROAD,BELFAST,G</t>
        </is>
      </c>
      <c r="D887" t="inlineStr"/>
      <c r="E887" s="5" t="n"/>
      <c r="F887" s="5" t="n">
        <v>9</v>
      </c>
      <c r="G887" s="5">
        <f>G886+E887-F887</f>
        <v/>
      </c>
    </row>
    <row r="888">
      <c r="A888" s="3" t="inlineStr">
        <is>
          <t>15/02/2025</t>
        </is>
      </c>
      <c r="B888" s="3" t="inlineStr">
        <is>
          <t>1200 - Bank</t>
        </is>
      </c>
      <c r="C888" s="3" t="inlineStr">
        <is>
          <t>Fin: CO-OP GROUP 140006,523,Old Park Roa</t>
        </is>
      </c>
      <c r="D888" s="3" t="inlineStr"/>
      <c r="E888" s="4" t="n"/>
      <c r="F888" s="4" t="n">
        <v>2</v>
      </c>
      <c r="G888" s="4">
        <f>G887+E888-F888</f>
        <v/>
      </c>
    </row>
    <row r="889">
      <c r="A889" t="inlineStr">
        <is>
          <t>15/02/2025</t>
        </is>
      </c>
      <c r="B889" t="inlineStr">
        <is>
          <t>1200 - Bank</t>
        </is>
      </c>
      <c r="C889" t="inlineStr">
        <is>
          <t>Fin: Chill,311 Cavehill Road,Belfast,GBR</t>
        </is>
      </c>
      <c r="D889" t="inlineStr"/>
      <c r="E889" s="5" t="n"/>
      <c r="F889" s="5" t="n">
        <v>9.550000000000001</v>
      </c>
      <c r="G889" s="5">
        <f>G888+E889-F889</f>
        <v/>
      </c>
    </row>
    <row r="890">
      <c r="A890" s="3" t="inlineStr">
        <is>
          <t>15/02/2025</t>
        </is>
      </c>
      <c r="B890" s="3" t="inlineStr">
        <is>
          <t>1200 - Bank</t>
        </is>
      </c>
      <c r="C890" s="3" t="inlineStr">
        <is>
          <t>Fin: E07038500000000,FALLS ROAD, ,BELFAS</t>
        </is>
      </c>
      <c r="D890" s="3" t="inlineStr"/>
      <c r="E890" s="4" t="n"/>
      <c r="F890" s="4" t="n">
        <v>271</v>
      </c>
      <c r="G890" s="4">
        <f>G889+E890-F890</f>
        <v/>
      </c>
    </row>
    <row r="891">
      <c r="A891" t="inlineStr">
        <is>
          <t>15/02/2025</t>
        </is>
      </c>
      <c r="B891" t="inlineStr">
        <is>
          <t>1200 - Bank</t>
        </is>
      </c>
      <c r="C891" t="inlineStr">
        <is>
          <t>Fin: MCDONALDS 740,Connswater Ret,BELFAS</t>
        </is>
      </c>
      <c r="D891" t="inlineStr"/>
      <c r="E891" s="5" t="n"/>
      <c r="F891" s="5" t="n">
        <v>5.88</v>
      </c>
      <c r="G891" s="5">
        <f>G890+E891-F891</f>
        <v/>
      </c>
    </row>
    <row r="892">
      <c r="A892" s="3" t="inlineStr">
        <is>
          <t>15/02/2025</t>
        </is>
      </c>
      <c r="B892" s="3" t="inlineStr">
        <is>
          <t>1200 - Bank</t>
        </is>
      </c>
      <c r="C892" s="3" t="inlineStr">
        <is>
          <t>R&amp;a revolot Gary revolution</t>
        </is>
      </c>
      <c r="D892" s="3" t="inlineStr"/>
      <c r="E892" s="4" t="n"/>
      <c r="F892" s="4" t="n">
        <v>1200</v>
      </c>
      <c r="G892" s="4">
        <f>G891+E892-F892</f>
        <v/>
      </c>
    </row>
    <row r="893">
      <c r="A893" t="inlineStr">
        <is>
          <t>15/02/2025</t>
        </is>
      </c>
      <c r="B893" t="inlineStr">
        <is>
          <t>1200 - Bank</t>
        </is>
      </c>
      <c r="C893" t="inlineStr">
        <is>
          <t>R&amp;a revolot Gary revolution</t>
        </is>
      </c>
      <c r="D893" t="inlineStr"/>
      <c r="E893" s="5" t="n"/>
      <c r="F893" s="5" t="n">
        <v>94</v>
      </c>
      <c r="G893" s="5">
        <f>G892+E893-F893</f>
        <v/>
      </c>
    </row>
    <row r="894">
      <c r="A894" s="3" t="inlineStr">
        <is>
          <t>15/02/2025</t>
        </is>
      </c>
      <c r="B894" s="3" t="inlineStr">
        <is>
          <t>1200 - Bank</t>
        </is>
      </c>
      <c r="C894" s="3" t="inlineStr">
        <is>
          <t>gary leckey gary</t>
        </is>
      </c>
      <c r="D894" s="3" t="inlineStr"/>
      <c r="E894" s="4" t="n"/>
      <c r="F894" s="4" t="n">
        <v>700</v>
      </c>
      <c r="G894" s="4">
        <f>G893+E894-F894</f>
        <v/>
      </c>
    </row>
    <row r="895">
      <c r="A895" t="inlineStr">
        <is>
          <t>16/02/2025</t>
        </is>
      </c>
      <c r="B895" t="inlineStr">
        <is>
          <t>1200 - Bank</t>
        </is>
      </c>
      <c r="C895" t="inlineStr">
        <is>
          <t>BROWN T TINA</t>
        </is>
      </c>
      <c r="D895" t="inlineStr"/>
      <c r="E895" s="5" t="n">
        <v>450</v>
      </c>
      <c r="F895" s="5" t="n"/>
      <c r="G895" s="5">
        <f>G894+E895-F895</f>
        <v/>
      </c>
    </row>
    <row r="896">
      <c r="A896" s="3" t="inlineStr">
        <is>
          <t>17/02/2025</t>
        </is>
      </c>
      <c r="B896" s="3" t="inlineStr">
        <is>
          <t>1200 - Bank</t>
        </is>
      </c>
      <c r="C896" s="3" t="inlineStr">
        <is>
          <t>Fin: E07047700000000,FALLS ROAD, ,BELFAS</t>
        </is>
      </c>
      <c r="D896" s="3" t="inlineStr"/>
      <c r="E896" s="4" t="n"/>
      <c r="F896" s="4" t="n">
        <v>500</v>
      </c>
      <c r="G896" s="4">
        <f>G895+E896-F896</f>
        <v/>
      </c>
    </row>
    <row r="897">
      <c r="A897" t="inlineStr">
        <is>
          <t>17/02/2025</t>
        </is>
      </c>
      <c r="B897" t="inlineStr">
        <is>
          <t>1200 - Bank</t>
        </is>
      </c>
      <c r="C897" t="inlineStr">
        <is>
          <t>Fin: SPAR TWIN SPIRES,UNIT 17-21 ,BELFAS</t>
        </is>
      </c>
      <c r="D897" t="inlineStr"/>
      <c r="E897" s="5" t="n"/>
      <c r="F897" s="5" t="n">
        <v>2.95</v>
      </c>
      <c r="G897" s="5">
        <f>G896+E897-F897</f>
        <v/>
      </c>
    </row>
    <row r="898">
      <c r="A898" s="3" t="inlineStr">
        <is>
          <t>18/02/2025</t>
        </is>
      </c>
      <c r="B898" s="3" t="inlineStr">
        <is>
          <t>1200 - Bank</t>
        </is>
      </c>
      <c r="C898" s="3" t="inlineStr">
        <is>
          <t>BROWN T TINA</t>
        </is>
      </c>
      <c r="D898" s="3" t="inlineStr"/>
      <c r="E898" s="4" t="n">
        <v>40</v>
      </c>
      <c r="F898" s="4" t="n"/>
      <c r="G898" s="4">
        <f>G897+E898-F898</f>
        <v/>
      </c>
    </row>
    <row r="899">
      <c r="A899" t="inlineStr">
        <is>
          <t>18/02/2025</t>
        </is>
      </c>
      <c r="B899" t="inlineStr">
        <is>
          <t>1200 - Bank</t>
        </is>
      </c>
      <c r="C899" t="inlineStr">
        <is>
          <t>Fin: ENUK0481,CRUMLIN ROAD,BELFAST,GBR</t>
        </is>
      </c>
      <c r="D899" t="inlineStr"/>
      <c r="E899" s="5" t="n"/>
      <c r="F899" s="5" t="n">
        <v>200</v>
      </c>
      <c r="G899" s="5">
        <f>G898+E899-F899</f>
        <v/>
      </c>
    </row>
    <row r="900">
      <c r="A900" s="3" t="inlineStr">
        <is>
          <t>18/02/2025</t>
        </is>
      </c>
      <c r="B900" s="3" t="inlineStr">
        <is>
          <t>1200 - Bank</t>
        </is>
      </c>
      <c r="C900" s="3" t="inlineStr">
        <is>
          <t>Fin: ENUK0481,CRUMLIN ROAD,BELFAST,GBR</t>
        </is>
      </c>
      <c r="D900" s="3" t="inlineStr"/>
      <c r="E900" s="4" t="n"/>
      <c r="F900" s="4" t="n">
        <v>250</v>
      </c>
      <c r="G900" s="4">
        <f>G899+E900-F900</f>
        <v/>
      </c>
    </row>
    <row r="901">
      <c r="A901" t="inlineStr">
        <is>
          <t>18/02/2025</t>
        </is>
      </c>
      <c r="B901" t="inlineStr">
        <is>
          <t>1200 - Bank</t>
        </is>
      </c>
      <c r="C901" t="inlineStr">
        <is>
          <t>Mark heagney Gary</t>
        </is>
      </c>
      <c r="D901" t="inlineStr"/>
      <c r="E901" s="5" t="n"/>
      <c r="F901" s="5" t="n">
        <v>30</v>
      </c>
      <c r="G901" s="5">
        <f>G900+E901-F901</f>
        <v/>
      </c>
    </row>
    <row r="902">
      <c r="A902" s="3" t="inlineStr">
        <is>
          <t>19/02/2025</t>
        </is>
      </c>
      <c r="B902" s="3" t="inlineStr">
        <is>
          <t>1200 - Bank</t>
        </is>
      </c>
      <c r="C902" s="3" t="inlineStr">
        <is>
          <t>Grove Builders Ltd GROVE BUILDERS LTD</t>
        </is>
      </c>
      <c r="D902" s="3" t="inlineStr"/>
      <c r="E902" s="4" t="n">
        <v>905.62</v>
      </c>
      <c r="F902" s="4" t="n"/>
      <c r="G902" s="4">
        <f>G901+E902-F902</f>
        <v/>
      </c>
    </row>
    <row r="903">
      <c r="A903" t="inlineStr">
        <is>
          <t>19/02/2025</t>
        </is>
      </c>
      <c r="B903" t="inlineStr">
        <is>
          <t>1200 - Bank</t>
        </is>
      </c>
      <c r="C903" t="inlineStr">
        <is>
          <t>Martin mcelkerney harry potter vol 2</t>
        </is>
      </c>
      <c r="D903" t="inlineStr"/>
      <c r="E903" s="5" t="n"/>
      <c r="F903" s="5" t="n">
        <v>50</v>
      </c>
      <c r="G903" s="5">
        <f>G902+E903-F903</f>
        <v/>
      </c>
    </row>
    <row r="904">
      <c r="A904" s="3" t="inlineStr">
        <is>
          <t>20/02/2025</t>
        </is>
      </c>
      <c r="B904" s="3" t="inlineStr">
        <is>
          <t>1200 - Bank</t>
        </is>
      </c>
      <c r="C904" s="3" t="inlineStr">
        <is>
          <t>BROWN T TINA</t>
        </is>
      </c>
      <c r="D904" s="3" t="inlineStr"/>
      <c r="E904" s="4" t="n">
        <v>134.29</v>
      </c>
      <c r="F904" s="4" t="n"/>
      <c r="G904" s="4">
        <f>G903+E904-F904</f>
        <v/>
      </c>
    </row>
    <row r="905">
      <c r="A905" t="inlineStr">
        <is>
          <t>20/02/2025</t>
        </is>
      </c>
      <c r="B905" t="inlineStr">
        <is>
          <t>1200 - Bank</t>
        </is>
      </c>
      <c r="C905" t="inlineStr">
        <is>
          <t>Fin: E07047700000000,FALLS ROAD, ,BELFAS</t>
        </is>
      </c>
      <c r="D905" t="inlineStr"/>
      <c r="E905" s="5" t="n"/>
      <c r="F905" s="5" t="n">
        <v>500</v>
      </c>
      <c r="G905" s="5">
        <f>G904+E905-F905</f>
        <v/>
      </c>
    </row>
    <row r="906">
      <c r="A906" s="3" t="inlineStr">
        <is>
          <t>21/02/2025</t>
        </is>
      </c>
      <c r="B906" s="3" t="inlineStr">
        <is>
          <t>1200 - Bank</t>
        </is>
      </c>
      <c r="C906" s="3" t="inlineStr">
        <is>
          <t>BROWN T TINA</t>
        </is>
      </c>
      <c r="D906" s="3" t="inlineStr"/>
      <c r="E906" s="4" t="n">
        <v>200</v>
      </c>
      <c r="F906" s="4" t="n"/>
      <c r="G906" s="4">
        <f>G905+E906-F906</f>
        <v/>
      </c>
    </row>
    <row r="907">
      <c r="A907" t="inlineStr">
        <is>
          <t>21/02/2025</t>
        </is>
      </c>
      <c r="B907" t="inlineStr">
        <is>
          <t>1200 - Bank</t>
        </is>
      </c>
      <c r="C907" t="inlineStr">
        <is>
          <t>BROWN T TINA</t>
        </is>
      </c>
      <c r="D907" t="inlineStr"/>
      <c r="E907" s="5" t="n">
        <v>500</v>
      </c>
      <c r="F907" s="5" t="n"/>
      <c r="G907" s="5">
        <f>G906+E907-F907</f>
        <v/>
      </c>
    </row>
    <row r="908">
      <c r="A908" s="3" t="inlineStr">
        <is>
          <t>21/02/2025</t>
        </is>
      </c>
      <c r="B908" s="3" t="inlineStr">
        <is>
          <t>1200 - Bank</t>
        </is>
      </c>
      <c r="C908" s="3" t="inlineStr">
        <is>
          <t>CSR NI LTD THE CSR GROUP</t>
        </is>
      </c>
      <c r="D908" s="3" t="inlineStr"/>
      <c r="E908" s="4" t="n">
        <v>3769.7</v>
      </c>
      <c r="F908" s="4" t="n"/>
      <c r="G908" s="4">
        <f>G907+E908-F908</f>
        <v/>
      </c>
    </row>
    <row r="909">
      <c r="A909" t="inlineStr">
        <is>
          <t>21/02/2025</t>
        </is>
      </c>
      <c r="B909" t="inlineStr">
        <is>
          <t>1200 - Bank</t>
        </is>
      </c>
      <c r="C909" t="inlineStr">
        <is>
          <t>DD:STRIPE RE XERO UK CDFRFWG80TABQ64IQM</t>
        </is>
      </c>
      <c r="D909" t="inlineStr"/>
      <c r="E909" s="5" t="n"/>
      <c r="F909" s="5" t="n">
        <v>7.68</v>
      </c>
      <c r="G909" s="5">
        <f>G908+E909-F909</f>
        <v/>
      </c>
    </row>
    <row r="910">
      <c r="A910" s="3" t="inlineStr">
        <is>
          <t>21/02/2025</t>
        </is>
      </c>
      <c r="B910" s="3" t="inlineStr">
        <is>
          <t>1200 - Bank</t>
        </is>
      </c>
      <c r="C910" s="3" t="inlineStr">
        <is>
          <t>Fin: INVIDEO INNOVATION,3 CHURC,SINGAPOR 35 USD XR 1.255831</t>
        </is>
      </c>
      <c r="D910" s="3" t="inlineStr"/>
      <c r="E910" s="4" t="n"/>
      <c r="F910" s="4" t="n">
        <v>27.87</v>
      </c>
      <c r="G910" s="4">
        <f>G909+E910-F910</f>
        <v/>
      </c>
    </row>
    <row r="911">
      <c r="A911" t="inlineStr">
        <is>
          <t>21/02/2025</t>
        </is>
      </c>
      <c r="B911" t="inlineStr">
        <is>
          <t>1200 - Bank</t>
        </is>
      </c>
      <c r="C911" t="inlineStr">
        <is>
          <t>R&amp;a revolot Gary revolution</t>
        </is>
      </c>
      <c r="D911" t="inlineStr"/>
      <c r="E911" s="5" t="n"/>
      <c r="F911" s="5" t="n">
        <v>100</v>
      </c>
      <c r="G911" s="5">
        <f>G910+E911-F911</f>
        <v/>
      </c>
    </row>
    <row r="912">
      <c r="A912" s="3" t="inlineStr">
        <is>
          <t>21/02/2025</t>
        </is>
      </c>
      <c r="B912" s="3" t="inlineStr">
        <is>
          <t>1200 - Bank</t>
        </is>
      </c>
      <c r="C912" s="3" t="inlineStr">
        <is>
          <t>R&amp;a revolot Gary revolution</t>
        </is>
      </c>
      <c r="D912" s="3" t="inlineStr"/>
      <c r="E912" s="4" t="n"/>
      <c r="F912" s="4" t="n">
        <v>3000</v>
      </c>
      <c r="G912" s="4">
        <f>G911+E912-F912</f>
        <v/>
      </c>
    </row>
    <row r="913">
      <c r="A913" t="inlineStr">
        <is>
          <t>21/02/2025</t>
        </is>
      </c>
      <c r="B913" t="inlineStr">
        <is>
          <t>1200 - Bank</t>
        </is>
      </c>
      <c r="C913" t="inlineStr">
        <is>
          <t>tina brown tina</t>
        </is>
      </c>
      <c r="D913" t="inlineStr"/>
      <c r="E913" s="5" t="n"/>
      <c r="F913" s="5" t="n">
        <v>130</v>
      </c>
      <c r="G913" s="5">
        <f>G912+E913-F913</f>
        <v/>
      </c>
    </row>
    <row r="914">
      <c r="A914" s="3" t="inlineStr">
        <is>
          <t>21/02/2025</t>
        </is>
      </c>
      <c r="B914" s="3" t="inlineStr">
        <is>
          <t>1200 - Bank</t>
        </is>
      </c>
      <c r="C914" s="3" t="inlineStr">
        <is>
          <t>tina brown tina</t>
        </is>
      </c>
      <c r="D914" s="3" t="inlineStr"/>
      <c r="E914" s="4" t="n"/>
      <c r="F914" s="4" t="n">
        <v>140</v>
      </c>
      <c r="G914" s="4">
        <f>G913+E914-F914</f>
        <v/>
      </c>
    </row>
    <row r="915">
      <c r="A915" t="inlineStr">
        <is>
          <t>22/02/2025</t>
        </is>
      </c>
      <c r="B915" t="inlineStr">
        <is>
          <t>1200 - Bank</t>
        </is>
      </c>
      <c r="C915" t="inlineStr">
        <is>
          <t>Fin: E07006800000000,MCPEAKES 1,BELFAST,</t>
        </is>
      </c>
      <c r="D915" t="inlineStr"/>
      <c r="E915" s="5" t="n"/>
      <c r="F915" s="5" t="n">
        <v>241.99</v>
      </c>
      <c r="G915" s="5">
        <f>G914+E915-F915</f>
        <v/>
      </c>
    </row>
    <row r="916">
      <c r="A916" s="3" t="inlineStr">
        <is>
          <t>22/02/2025</t>
        </is>
      </c>
      <c r="B916" s="3" t="inlineStr">
        <is>
          <t>1200 - Bank</t>
        </is>
      </c>
      <c r="C916" s="3" t="inlineStr">
        <is>
          <t>Fin: E07006800000000,MCPEAKES 1,BELFAST,</t>
        </is>
      </c>
      <c r="D916" s="3" t="inlineStr"/>
      <c r="E916" s="4" t="n"/>
      <c r="F916" s="4" t="n">
        <v>251.99</v>
      </c>
      <c r="G916" s="4">
        <f>G915+E916-F916</f>
        <v/>
      </c>
    </row>
    <row r="917">
      <c r="A917" t="inlineStr">
        <is>
          <t>22/02/2025</t>
        </is>
      </c>
      <c r="B917" t="inlineStr">
        <is>
          <t>1200 - Bank</t>
        </is>
      </c>
      <c r="C917" t="inlineStr">
        <is>
          <t>Fin: Louis Boyd Kennedy Ce,Unit 4,Belfas</t>
        </is>
      </c>
      <c r="D917" t="inlineStr"/>
      <c r="E917" s="5" t="n"/>
      <c r="F917" s="5" t="n">
        <v>330</v>
      </c>
      <c r="G917" s="5">
        <f>G916+E917-F917</f>
        <v/>
      </c>
    </row>
    <row r="918">
      <c r="A918" s="3" t="inlineStr">
        <is>
          <t>22/02/2025</t>
        </is>
      </c>
      <c r="B918" s="3" t="inlineStr">
        <is>
          <t>1200 - Bank</t>
        </is>
      </c>
      <c r="C918" s="3" t="inlineStr">
        <is>
          <t>Fin: MUSGRAVE MARKET PLACE,1-15 D,BELFAS</t>
        </is>
      </c>
      <c r="D918" s="3" t="inlineStr"/>
      <c r="E918" s="4" t="n"/>
      <c r="F918" s="4" t="n">
        <v>134.29</v>
      </c>
      <c r="G918" s="4">
        <f>G917+E918-F918</f>
        <v/>
      </c>
    </row>
    <row r="919">
      <c r="A919" t="inlineStr">
        <is>
          <t>24/02/2025</t>
        </is>
      </c>
      <c r="B919" t="inlineStr">
        <is>
          <t>1200 - Bank</t>
        </is>
      </c>
      <c r="C919" t="inlineStr">
        <is>
          <t>BROWN T TINA</t>
        </is>
      </c>
      <c r="D919" t="inlineStr"/>
      <c r="E919" s="5" t="n">
        <v>100</v>
      </c>
      <c r="F919" s="5" t="n"/>
      <c r="G919" s="5">
        <f>G918+E919-F919</f>
        <v/>
      </c>
    </row>
    <row r="920">
      <c r="A920" s="3" t="inlineStr">
        <is>
          <t>24/02/2025</t>
        </is>
      </c>
      <c r="B920" s="3" t="inlineStr">
        <is>
          <t>1200 - Bank</t>
        </is>
      </c>
      <c r="C920" s="3" t="inlineStr">
        <is>
          <t>BROWN T TINA</t>
        </is>
      </c>
      <c r="D920" s="3" t="inlineStr"/>
      <c r="E920" s="4" t="n">
        <v>100</v>
      </c>
      <c r="F920" s="4" t="n"/>
      <c r="G920" s="4">
        <f>G919+E920-F920</f>
        <v/>
      </c>
    </row>
    <row r="921">
      <c r="A921" t="inlineStr">
        <is>
          <t>24/02/2025</t>
        </is>
      </c>
      <c r="B921" t="inlineStr">
        <is>
          <t>1200 - Bank</t>
        </is>
      </c>
      <c r="C921" t="inlineStr">
        <is>
          <t>Fin: APPLEGREEN TEMPLEPATRI,,NEWTOWNABBE</t>
        </is>
      </c>
      <c r="D921" t="inlineStr"/>
      <c r="E921" s="5" t="n"/>
      <c r="F921" s="5" t="n">
        <v>20.48</v>
      </c>
      <c r="G921" s="5">
        <f>G920+E921-F921</f>
        <v/>
      </c>
    </row>
    <row r="922">
      <c r="A922" s="3" t="inlineStr">
        <is>
          <t>24/02/2025</t>
        </is>
      </c>
      <c r="B922" s="3" t="inlineStr">
        <is>
          <t>1200 - Bank</t>
        </is>
      </c>
      <c r="C922" s="3" t="inlineStr">
        <is>
          <t>Fin: CENTRA MOUNTAINTOP,Cosgr,LETTERKENN 8.56 EUR XR 1.205634</t>
        </is>
      </c>
      <c r="D922" s="3" t="inlineStr"/>
      <c r="E922" s="4" t="n"/>
      <c r="F922" s="4" t="n">
        <v>7.1</v>
      </c>
      <c r="G922" s="4">
        <f>G921+E922-F922</f>
        <v/>
      </c>
    </row>
    <row r="923">
      <c r="A923" t="inlineStr">
        <is>
          <t>24/02/2025</t>
        </is>
      </c>
      <c r="B923" t="inlineStr">
        <is>
          <t>1200 - Bank</t>
        </is>
      </c>
      <c r="C923" t="inlineStr">
        <is>
          <t>Fin: COSTCUTTER EXPRESS ,F92A2XA 3.5 EUR XR 1.206897</t>
        </is>
      </c>
      <c r="D923" t="inlineStr"/>
      <c r="E923" s="5" t="n"/>
      <c r="F923" s="5" t="n">
        <v>2.9</v>
      </c>
      <c r="G923" s="5">
        <f>G922+E923-F923</f>
        <v/>
      </c>
    </row>
    <row r="924">
      <c r="A924" s="3" t="inlineStr">
        <is>
          <t>24/02/2025</t>
        </is>
      </c>
      <c r="B924" s="3" t="inlineStr">
        <is>
          <t>1200 - Bank</t>
        </is>
      </c>
      <c r="C924" s="3" t="inlineStr">
        <is>
          <t>Fin: E07038500000000,FALLS ROAD, ,BELFAS</t>
        </is>
      </c>
      <c r="D924" s="3" t="inlineStr"/>
      <c r="E924" s="4" t="n"/>
      <c r="F924" s="4" t="n">
        <v>41</v>
      </c>
      <c r="G924" s="4">
        <f>G923+E924-F924</f>
        <v/>
      </c>
    </row>
    <row r="925">
      <c r="A925" t="inlineStr">
        <is>
          <t>24/02/2025</t>
        </is>
      </c>
      <c r="B925" t="inlineStr">
        <is>
          <t>1200 - Bank</t>
        </is>
      </c>
      <c r="C925" t="inlineStr">
        <is>
          <t>Fin: E07047700000000,FALLS ROAD, ,BELFAS</t>
        </is>
      </c>
      <c r="D925" t="inlineStr"/>
      <c r="E925" s="5" t="n"/>
      <c r="F925" s="5" t="n">
        <v>250</v>
      </c>
      <c r="G925" s="5">
        <f>G924+E925-F925</f>
        <v/>
      </c>
    </row>
    <row r="926">
      <c r="A926" s="3" t="inlineStr">
        <is>
          <t>24/02/2025</t>
        </is>
      </c>
      <c r="B926" s="3" t="inlineStr">
        <is>
          <t>1200 - Bank</t>
        </is>
      </c>
      <c r="C926" s="3" t="inlineStr">
        <is>
          <t>Fin: MACE CROLLY ,CROLLY 33.62 EUR XR 1.20545</t>
        </is>
      </c>
      <c r="D926" s="3" t="inlineStr"/>
      <c r="E926" s="4" t="n"/>
      <c r="F926" s="4" t="n">
        <v>27.89</v>
      </c>
      <c r="G926" s="4">
        <f>G925+E926-F926</f>
        <v/>
      </c>
    </row>
    <row r="927">
      <c r="A927" t="inlineStr">
        <is>
          <t>24/02/2025</t>
        </is>
      </c>
      <c r="B927" t="inlineStr">
        <is>
          <t>1200 - Bank</t>
        </is>
      </c>
      <c r="C927" t="inlineStr">
        <is>
          <t>Fin: MAXOL SSTN FORTWILLIAM,452 A,BELFAS</t>
        </is>
      </c>
      <c r="D927" t="inlineStr"/>
      <c r="E927" s="5" t="n"/>
      <c r="F927" s="5" t="n">
        <v>67.23999999999999</v>
      </c>
      <c r="G927" s="5">
        <f>G926+E927-F927</f>
        <v/>
      </c>
    </row>
    <row r="928">
      <c r="A928" s="3" t="inlineStr">
        <is>
          <t>24/02/2025</t>
        </is>
      </c>
      <c r="B928" s="3" t="inlineStr">
        <is>
          <t>1200 - Bank</t>
        </is>
      </c>
      <c r="C928" s="3" t="inlineStr">
        <is>
          <t>Fin: ORCHARD INN,THE OLD OR,LETTERKENNY 12.8 EUR XR 1.205273</t>
        </is>
      </c>
      <c r="D928" s="3" t="inlineStr"/>
      <c r="E928" s="4" t="n"/>
      <c r="F928" s="4" t="n">
        <v>10.62</v>
      </c>
      <c r="G928" s="4">
        <f>G927+E928-F928</f>
        <v/>
      </c>
    </row>
    <row r="929">
      <c r="A929" t="inlineStr">
        <is>
          <t>24/02/2025</t>
        </is>
      </c>
      <c r="B929" t="inlineStr">
        <is>
          <t>1200 - Bank</t>
        </is>
      </c>
      <c r="C929" t="inlineStr">
        <is>
          <t>Fin: ORCHARD INN,THE OLD OR,LETTERKENNY 16.3 EUR XR 1.205621</t>
        </is>
      </c>
      <c r="D929" t="inlineStr"/>
      <c r="E929" s="5" t="n"/>
      <c r="F929" s="5" t="n">
        <v>13.52</v>
      </c>
      <c r="G929" s="5">
        <f>G928+E929-F929</f>
        <v/>
      </c>
    </row>
    <row r="930">
      <c r="A930" s="3" t="inlineStr">
        <is>
          <t>24/02/2025</t>
        </is>
      </c>
      <c r="B930" s="3" t="inlineStr">
        <is>
          <t>1200 - Bank</t>
        </is>
      </c>
      <c r="C930" s="3" t="inlineStr">
        <is>
          <t>Fin: ORCHARD INN,THE OLD OR,LETTERKENNY 25 EUR XR 1.2054</t>
        </is>
      </c>
      <c r="D930" s="3" t="inlineStr"/>
      <c r="E930" s="4" t="n"/>
      <c r="F930" s="4" t="n">
        <v>20.74</v>
      </c>
      <c r="G930" s="4">
        <f>G929+E930-F930</f>
        <v/>
      </c>
    </row>
    <row r="931">
      <c r="A931" t="inlineStr">
        <is>
          <t>24/02/2025</t>
        </is>
      </c>
      <c r="B931" t="inlineStr">
        <is>
          <t>1200 - Bank</t>
        </is>
      </c>
      <c r="C931" t="inlineStr">
        <is>
          <t>Fin: ORCHARD INN,THE OLD OR,LETTERKENNY 36.3 EUR XR 1.20558</t>
        </is>
      </c>
      <c r="D931" t="inlineStr"/>
      <c r="E931" s="5" t="n"/>
      <c r="F931" s="5" t="n">
        <v>30.11</v>
      </c>
      <c r="G931" s="5">
        <f>G930+E931-F931</f>
        <v/>
      </c>
    </row>
    <row r="932">
      <c r="A932" s="3" t="inlineStr">
        <is>
          <t>24/02/2025</t>
        </is>
      </c>
      <c r="B932" s="3" t="inlineStr">
        <is>
          <t>1200 - Bank</t>
        </is>
      </c>
      <c r="C932" s="3" t="inlineStr">
        <is>
          <t>Fin: TEACH PAIDI OIG ,CROLLY</t>
        </is>
      </c>
      <c r="D932" s="3" t="inlineStr"/>
      <c r="E932" s="4" t="n"/>
      <c r="F932" s="4" t="n">
        <v>112.49</v>
      </c>
      <c r="G932" s="4">
        <f>G931+E932-F932</f>
        <v/>
      </c>
    </row>
    <row r="933">
      <c r="A933" t="inlineStr">
        <is>
          <t>25/02/2025</t>
        </is>
      </c>
      <c r="B933" t="inlineStr">
        <is>
          <t>1200 - Bank</t>
        </is>
      </c>
      <c r="C933" t="inlineStr">
        <is>
          <t>Fin: E07047700000000,FALLS ROAD, ,BELFAS</t>
        </is>
      </c>
      <c r="D933" t="inlineStr"/>
      <c r="E933" s="5" t="n"/>
      <c r="F933" s="5" t="n">
        <v>100</v>
      </c>
      <c r="G933" s="5">
        <f>G932+E933-F933</f>
        <v/>
      </c>
    </row>
    <row r="934">
      <c r="A934" s="3" t="inlineStr">
        <is>
          <t>25/02/2025</t>
        </is>
      </c>
      <c r="B934" s="3" t="inlineStr">
        <is>
          <t>1200 - Bank</t>
        </is>
      </c>
      <c r="C934" s="3" t="inlineStr">
        <is>
          <t>Fin: E07047900000000,BLACKSTAFF E,BELFAS</t>
        </is>
      </c>
      <c r="D934" s="3" t="inlineStr"/>
      <c r="E934" s="4" t="n"/>
      <c r="F934" s="4" t="n">
        <v>100</v>
      </c>
      <c r="G934" s="4">
        <f>G933+E934-F934</f>
        <v/>
      </c>
    </row>
    <row r="935">
      <c r="A935" t="inlineStr">
        <is>
          <t>28/02/2025</t>
        </is>
      </c>
      <c r="B935" t="inlineStr">
        <is>
          <t>1200 - Bank</t>
        </is>
      </c>
      <c r="C935" t="inlineStr">
        <is>
          <t>BROWN T TINA</t>
        </is>
      </c>
      <c r="D935" t="inlineStr"/>
      <c r="E935" s="5" t="n">
        <v>180</v>
      </c>
      <c r="F935" s="5" t="n"/>
      <c r="G935" s="5">
        <f>G934+E935-F935</f>
        <v/>
      </c>
    </row>
    <row r="936">
      <c r="A936" s="3" t="inlineStr">
        <is>
          <t>28/02/2025</t>
        </is>
      </c>
      <c r="B936" s="3" t="inlineStr">
        <is>
          <t>1200 - Bank</t>
        </is>
      </c>
      <c r="C936" s="3" t="inlineStr">
        <is>
          <t>Bradley lyttle Golf set gumtree</t>
        </is>
      </c>
      <c r="D936" s="3" t="inlineStr"/>
      <c r="E936" s="4" t="n"/>
      <c r="F936" s="4" t="n">
        <v>180</v>
      </c>
      <c r="G936" s="4">
        <f>G935+E936-F936</f>
        <v/>
      </c>
    </row>
    <row r="937">
      <c r="A937" t="inlineStr">
        <is>
          <t>28/02/2025</t>
        </is>
      </c>
      <c r="B937" t="inlineStr">
        <is>
          <t>1200 - Bank</t>
        </is>
      </c>
      <c r="C937" t="inlineStr">
        <is>
          <t>Carter savage Gym equip gumtree</t>
        </is>
      </c>
      <c r="D937" t="inlineStr"/>
      <c r="E937" s="5" t="n"/>
      <c r="F937" s="5" t="n">
        <v>105</v>
      </c>
      <c r="G937" s="5">
        <f>G936+E937-F937</f>
        <v/>
      </c>
    </row>
    <row r="938">
      <c r="A938" s="3" t="inlineStr">
        <is>
          <t>28/02/2025</t>
        </is>
      </c>
      <c r="B938" s="3" t="inlineStr">
        <is>
          <t>1200 - Bank</t>
        </is>
      </c>
      <c r="C938" s="3" t="inlineStr">
        <is>
          <t>Fin: 325 CAVEHILL ROAD,BELFAST</t>
        </is>
      </c>
      <c r="D938" s="3" t="inlineStr"/>
      <c r="E938" s="4" t="n">
        <v>1550</v>
      </c>
      <c r="F938" s="4" t="n"/>
      <c r="G938" s="4">
        <f>G937+E938-F938</f>
        <v/>
      </c>
    </row>
    <row r="939">
      <c r="A939" t="inlineStr">
        <is>
          <t>01/03/2025</t>
        </is>
      </c>
      <c r="B939" t="inlineStr">
        <is>
          <t>1200 - Bank</t>
        </is>
      </c>
      <c r="C939" t="inlineStr">
        <is>
          <t>Fin: ADOBE *ADOBE,4-6 Rive,ADOBE.LY/BIL</t>
        </is>
      </c>
      <c r="D939" t="inlineStr"/>
      <c r="E939" s="5" t="n"/>
      <c r="F939" s="5" t="n">
        <v>23.99</v>
      </c>
      <c r="G939" s="5">
        <f>G938+E939-F939</f>
        <v/>
      </c>
    </row>
    <row r="940">
      <c r="A940" s="3" t="inlineStr">
        <is>
          <t>01/03/2025</t>
        </is>
      </c>
      <c r="B940" s="3" t="inlineStr">
        <is>
          <t>1200 - Bank</t>
        </is>
      </c>
      <c r="C940" s="3" t="inlineStr">
        <is>
          <t>Fin: Chip Co Ardoyne,21 Ardoyne R,Belfas</t>
        </is>
      </c>
      <c r="D940" s="3" t="inlineStr"/>
      <c r="E940" s="4" t="n"/>
      <c r="F940" s="4" t="n">
        <v>3.6</v>
      </c>
      <c r="G940" s="4">
        <f>G939+E940-F940</f>
        <v/>
      </c>
    </row>
    <row r="941">
      <c r="A941" t="inlineStr">
        <is>
          <t>01/03/2025</t>
        </is>
      </c>
      <c r="B941" t="inlineStr">
        <is>
          <t>1200 - Bank</t>
        </is>
      </c>
      <c r="C941" t="inlineStr">
        <is>
          <t>Fin: E07007500000000,WINEMARK 1,BELFAST,</t>
        </is>
      </c>
      <c r="D941" t="inlineStr"/>
      <c r="E941" s="5" t="n"/>
      <c r="F941" s="5" t="n">
        <v>20</v>
      </c>
      <c r="G941" s="5">
        <f>G940+E941-F941</f>
        <v/>
      </c>
    </row>
    <row r="942">
      <c r="A942" s="3" t="inlineStr">
        <is>
          <t>01/03/2025</t>
        </is>
      </c>
      <c r="B942" s="3" t="inlineStr">
        <is>
          <t>1200 - Bank</t>
        </is>
      </c>
      <c r="C942" s="3" t="inlineStr">
        <is>
          <t>tina brown tina</t>
        </is>
      </c>
      <c r="D942" s="3" t="inlineStr"/>
      <c r="E942" s="4" t="n"/>
      <c r="F942" s="4" t="n">
        <v>160</v>
      </c>
      <c r="G942" s="4">
        <f>G941+E942-F942</f>
        <v/>
      </c>
    </row>
    <row r="943">
      <c r="A943" t="inlineStr">
        <is>
          <t>02/03/2025</t>
        </is>
      </c>
      <c r="B943" t="inlineStr">
        <is>
          <t>1200 - Bank</t>
        </is>
      </c>
      <c r="C943" t="inlineStr">
        <is>
          <t>Martin mcelkerney 50inch tv gumtree</t>
        </is>
      </c>
      <c r="D943" t="inlineStr"/>
      <c r="E943" s="5" t="n"/>
      <c r="F943" s="5" t="n">
        <v>20</v>
      </c>
      <c r="G943" s="5">
        <f>G942+E943-F943</f>
        <v/>
      </c>
    </row>
    <row r="944">
      <c r="A944" s="3" t="inlineStr">
        <is>
          <t>02/03/2025</t>
        </is>
      </c>
      <c r="B944" s="3" t="inlineStr">
        <is>
          <t>1200 - Bank</t>
        </is>
      </c>
      <c r="C944" s="3" t="inlineStr">
        <is>
          <t>tina brown tina</t>
        </is>
      </c>
      <c r="D944" s="3" t="inlineStr"/>
      <c r="E944" s="4" t="n"/>
      <c r="F944" s="4" t="n">
        <v>30</v>
      </c>
      <c r="G944" s="4">
        <f>G943+E944-F944</f>
        <v/>
      </c>
    </row>
    <row r="945">
      <c r="A945" t="inlineStr">
        <is>
          <t>02/03/2025</t>
        </is>
      </c>
      <c r="B945" t="inlineStr">
        <is>
          <t>1200 - Bank</t>
        </is>
      </c>
      <c r="C945" t="inlineStr">
        <is>
          <t>tina brown tina</t>
        </is>
      </c>
      <c r="D945" t="inlineStr"/>
      <c r="E945" s="5" t="n"/>
      <c r="F945" s="5" t="n">
        <v>450</v>
      </c>
      <c r="G945" s="5">
        <f>G944+E945-F945</f>
        <v/>
      </c>
    </row>
    <row r="946">
      <c r="A946" s="3" t="inlineStr">
        <is>
          <t>02/03/2025</t>
        </is>
      </c>
      <c r="B946" s="3" t="inlineStr">
        <is>
          <t>1200 - Bank</t>
        </is>
      </c>
      <c r="C946" s="3" t="inlineStr">
        <is>
          <t>tina brown tina</t>
        </is>
      </c>
      <c r="D946" s="3" t="inlineStr"/>
      <c r="E946" s="4" t="n"/>
      <c r="F946" s="4" t="n">
        <v>60</v>
      </c>
      <c r="G946" s="4">
        <f>G945+E946-F946</f>
        <v/>
      </c>
    </row>
    <row r="947">
      <c r="A947" t="inlineStr">
        <is>
          <t>03/03/2025</t>
        </is>
      </c>
      <c r="B947" t="inlineStr">
        <is>
          <t>1200 - Bank</t>
        </is>
      </c>
      <c r="C947" t="inlineStr">
        <is>
          <t>Fee for cash loads over 0/month</t>
        </is>
      </c>
      <c r="D947" t="inlineStr"/>
      <c r="E947" s="5" t="n"/>
      <c r="F947" s="5" t="n">
        <v>7.75</v>
      </c>
      <c r="G947" s="5">
        <f>G946+E947-F947</f>
        <v/>
      </c>
    </row>
    <row r="948">
      <c r="A948" s="3" t="inlineStr">
        <is>
          <t>03/03/2025</t>
        </is>
      </c>
      <c r="B948" s="3" t="inlineStr">
        <is>
          <t>1200 - Bank</t>
        </is>
      </c>
      <c r="C948" s="3" t="inlineStr">
        <is>
          <t>Fin: AMZNMktplace*R26XD9L34,,amazon.co.u</t>
        </is>
      </c>
      <c r="D948" s="3" t="inlineStr"/>
      <c r="E948" s="4" t="n"/>
      <c r="F948" s="4" t="n">
        <v>23.98</v>
      </c>
      <c r="G948" s="4">
        <f>G947+E948-F948</f>
        <v/>
      </c>
    </row>
    <row r="949">
      <c r="A949" t="inlineStr">
        <is>
          <t>03/03/2025</t>
        </is>
      </c>
      <c r="B949" t="inlineStr">
        <is>
          <t>1200 - Bank</t>
        </is>
      </c>
      <c r="C949" t="inlineStr">
        <is>
          <t>Fin: BURGER KING CITYSIDE,CITYSID,BELFAS</t>
        </is>
      </c>
      <c r="D949" t="inlineStr"/>
      <c r="E949" s="5" t="n"/>
      <c r="F949" s="5" t="n">
        <v>3.99</v>
      </c>
      <c r="G949" s="5">
        <f>G948+E949-F949</f>
        <v/>
      </c>
    </row>
    <row r="950">
      <c r="A950" s="3" t="inlineStr">
        <is>
          <t>03/03/2025</t>
        </is>
      </c>
      <c r="B950" s="3" t="inlineStr">
        <is>
          <t>1200 - Bank</t>
        </is>
      </c>
      <c r="C950" s="3" t="inlineStr">
        <is>
          <t>Fin: CHURCH OF SCIENTOLOGY ,TALLAGHT 2.5 EUR XR 1.207729</t>
        </is>
      </c>
      <c r="D950" s="3" t="inlineStr"/>
      <c r="E950" s="4" t="n"/>
      <c r="F950" s="4" t="n">
        <v>2.07</v>
      </c>
      <c r="G950" s="4">
        <f>G949+E950-F950</f>
        <v/>
      </c>
    </row>
    <row r="951">
      <c r="A951" t="inlineStr">
        <is>
          <t>03/03/2025</t>
        </is>
      </c>
      <c r="B951" t="inlineStr">
        <is>
          <t>1200 - Bank</t>
        </is>
      </c>
      <c r="C951" t="inlineStr">
        <is>
          <t>Fin: CIRCLE K RATHFARNHAM S,RATHFARNHAM 30.07 EUR XR 1.209087</t>
        </is>
      </c>
      <c r="D951" t="inlineStr"/>
      <c r="E951" s="5" t="n"/>
      <c r="F951" s="5" t="n">
        <v>24.87</v>
      </c>
      <c r="G951" s="5">
        <f>G950+E951-F951</f>
        <v/>
      </c>
    </row>
    <row r="952">
      <c r="A952" s="3" t="inlineStr">
        <is>
          <t>03/03/2025</t>
        </is>
      </c>
      <c r="B952" s="3" t="inlineStr">
        <is>
          <t>1200 - Bank</t>
        </is>
      </c>
      <c r="C952" s="3" t="inlineStr">
        <is>
          <t>Fin: CIRCLE K RATHFARNHAM S,RATHFARNHAM 4.5 EUR XR 1.209677</t>
        </is>
      </c>
      <c r="D952" s="3" t="inlineStr"/>
      <c r="E952" s="4" t="n"/>
      <c r="F952" s="4" t="n">
        <v>3.72</v>
      </c>
      <c r="G952" s="4">
        <f>G951+E952-F952</f>
        <v/>
      </c>
    </row>
    <row r="953">
      <c r="A953" t="inlineStr">
        <is>
          <t>03/03/2025</t>
        </is>
      </c>
      <c r="B953" t="inlineStr">
        <is>
          <t>1200 - Bank</t>
        </is>
      </c>
      <c r="C953" t="inlineStr">
        <is>
          <t>Fin: FUNKY MONKEYS ,BELFAST BT15</t>
        </is>
      </c>
      <c r="D953" t="inlineStr"/>
      <c r="E953" s="5" t="n"/>
      <c r="F953" s="5" t="n">
        <v>11.55</v>
      </c>
      <c r="G953" s="5">
        <f>G952+E953-F953</f>
        <v/>
      </c>
    </row>
    <row r="954">
      <c r="A954" s="3" t="inlineStr">
        <is>
          <t>03/03/2025</t>
        </is>
      </c>
      <c r="B954" s="3" t="inlineStr">
        <is>
          <t>1200 - Bank</t>
        </is>
      </c>
      <c r="C954" s="3" t="inlineStr">
        <is>
          <t>Fin: NORTHLINK M1 LTD ,A92CK72 2.3 EUR XR 1.210526</t>
        </is>
      </c>
      <c r="D954" s="3" t="inlineStr"/>
      <c r="E954" s="4" t="n"/>
      <c r="F954" s="4" t="n">
        <v>1.9</v>
      </c>
      <c r="G954" s="4">
        <f>G953+E954-F954</f>
        <v/>
      </c>
    </row>
    <row r="955">
      <c r="A955" t="inlineStr">
        <is>
          <t>03/03/2025</t>
        </is>
      </c>
      <c r="B955" t="inlineStr">
        <is>
          <t>1200 - Bank</t>
        </is>
      </c>
      <c r="C955" t="inlineStr">
        <is>
          <t>Fin: NORTHLINK M1 LTD ,A92CK72 2.3 EUR XR 1.210526</t>
        </is>
      </c>
      <c r="D955" t="inlineStr"/>
      <c r="E955" s="5" t="n"/>
      <c r="F955" s="5" t="n">
        <v>1.9</v>
      </c>
      <c r="G955" s="5">
        <f>G954+E955-F955</f>
        <v/>
      </c>
    </row>
    <row r="956">
      <c r="A956" s="3" t="inlineStr">
        <is>
          <t>03/03/2025</t>
        </is>
      </c>
      <c r="B956" s="3" t="inlineStr">
        <is>
          <t>1200 - Bank</t>
        </is>
      </c>
      <c r="C956" s="3" t="inlineStr">
        <is>
          <t>Fin: NYX*EZEGamingLimited,Prince ,Belfas</t>
        </is>
      </c>
      <c r="D956" s="3" t="inlineStr"/>
      <c r="E956" s="4" t="n"/>
      <c r="F956" s="4" t="n">
        <v>1</v>
      </c>
      <c r="G956" s="4">
        <f>G955+E956-F956</f>
        <v/>
      </c>
    </row>
    <row r="957">
      <c r="A957" t="inlineStr">
        <is>
          <t>03/03/2025</t>
        </is>
      </c>
      <c r="B957" t="inlineStr">
        <is>
          <t>1200 - Bank</t>
        </is>
      </c>
      <c r="C957" t="inlineStr">
        <is>
          <t>Fin: SAVEWAY1,129 SPRINGFIELD ROA,BELFAS</t>
        </is>
      </c>
      <c r="D957" t="inlineStr"/>
      <c r="E957" s="5" t="n"/>
      <c r="F957" s="5" t="n">
        <v>1.85</v>
      </c>
      <c r="G957" s="5">
        <f>G956+E957-F957</f>
        <v/>
      </c>
    </row>
    <row r="958">
      <c r="A958" s="3" t="inlineStr">
        <is>
          <t>03/03/2025</t>
        </is>
      </c>
      <c r="B958" s="3" t="inlineStr">
        <is>
          <t>1200 - Bank</t>
        </is>
      </c>
      <c r="C958" s="3" t="inlineStr">
        <is>
          <t>Fin: Slim Chickens,Unit 1 Sprucef,Lisbur</t>
        </is>
      </c>
      <c r="D958" s="3" t="inlineStr"/>
      <c r="E958" s="4" t="n"/>
      <c r="F958" s="4" t="n">
        <v>27.85</v>
      </c>
      <c r="G958" s="4">
        <f>G957+E958-F958</f>
        <v/>
      </c>
    </row>
    <row r="959">
      <c r="A959" t="inlineStr">
        <is>
          <t>03/03/2025</t>
        </is>
      </c>
      <c r="B959" t="inlineStr">
        <is>
          <t>1200 - Bank</t>
        </is>
      </c>
      <c r="C959" t="inlineStr">
        <is>
          <t>Martin mcelkerney 50inch tv gumtree</t>
        </is>
      </c>
      <c r="D959" t="inlineStr"/>
      <c r="E959" s="5" t="n"/>
      <c r="F959" s="5" t="n">
        <v>40</v>
      </c>
      <c r="G959" s="5">
        <f>G958+E959-F959</f>
        <v/>
      </c>
    </row>
    <row r="960">
      <c r="A960" s="3" t="inlineStr">
        <is>
          <t>03/03/2025</t>
        </is>
      </c>
      <c r="B960" s="3" t="inlineStr">
        <is>
          <t>1200 - Bank</t>
        </is>
      </c>
      <c r="C960" s="3" t="inlineStr">
        <is>
          <t>tina brown tina</t>
        </is>
      </c>
      <c r="D960" s="3" t="inlineStr"/>
      <c r="E960" s="4" t="n"/>
      <c r="F960" s="4" t="n">
        <v>180</v>
      </c>
      <c r="G960" s="4">
        <f>G959+E960-F960</f>
        <v/>
      </c>
    </row>
    <row r="961">
      <c r="A961" t="inlineStr">
        <is>
          <t>04/03/2025</t>
        </is>
      </c>
      <c r="B961" t="inlineStr">
        <is>
          <t>1200 - Bank</t>
        </is>
      </c>
      <c r="C961" t="inlineStr">
        <is>
          <t>Caoimhin Mcguigan Ps5 games gumtree</t>
        </is>
      </c>
      <c r="D961" t="inlineStr"/>
      <c r="E961" s="5" t="n"/>
      <c r="F961" s="5" t="n">
        <v>25</v>
      </c>
      <c r="G961" s="5">
        <f>G960+E961-F961</f>
        <v/>
      </c>
    </row>
    <row r="962">
      <c r="A962" s="3" t="inlineStr">
        <is>
          <t>04/03/2025</t>
        </is>
      </c>
      <c r="B962" s="3" t="inlineStr">
        <is>
          <t>1200 - Bank</t>
        </is>
      </c>
      <c r="C962" s="3" t="inlineStr">
        <is>
          <t>Fin: AMAZON* R23PV9AB4,1 Principal,LONDO</t>
        </is>
      </c>
      <c r="D962" s="3" t="inlineStr"/>
      <c r="E962" s="4" t="n"/>
      <c r="F962" s="4" t="n">
        <v>19</v>
      </c>
      <c r="G962" s="4">
        <f>G961+E962-F962</f>
        <v/>
      </c>
    </row>
    <row r="963">
      <c r="A963" t="inlineStr">
        <is>
          <t>04/03/2025</t>
        </is>
      </c>
      <c r="B963" t="inlineStr">
        <is>
          <t>1200 - Bank</t>
        </is>
      </c>
      <c r="C963" t="inlineStr">
        <is>
          <t>Fin: APPLEGREEN M1 LISBURN,APPLEG,LISBUR</t>
        </is>
      </c>
      <c r="D963" t="inlineStr"/>
      <c r="E963" s="5" t="n"/>
      <c r="F963" s="5" t="n">
        <v>52.7</v>
      </c>
      <c r="G963" s="5">
        <f>G962+E963-F963</f>
        <v/>
      </c>
    </row>
    <row r="964">
      <c r="A964" s="3" t="inlineStr">
        <is>
          <t>04/03/2025</t>
        </is>
      </c>
      <c r="B964" s="3" t="inlineStr">
        <is>
          <t>1200 - Bank</t>
        </is>
      </c>
      <c r="C964" s="3" t="inlineStr">
        <is>
          <t>Fin: CENTRA LARNE PORT,1A REDLANDS ,LARN</t>
        </is>
      </c>
      <c r="D964" s="3" t="inlineStr"/>
      <c r="E964" s="4" t="n"/>
      <c r="F964" s="4" t="n">
        <v>22.9</v>
      </c>
      <c r="G964" s="4">
        <f>G963+E964-F964</f>
        <v/>
      </c>
    </row>
    <row r="965">
      <c r="A965" t="inlineStr">
        <is>
          <t>04/03/2025</t>
        </is>
      </c>
      <c r="B965" t="inlineStr">
        <is>
          <t>1200 - Bank</t>
        </is>
      </c>
      <c r="C965" t="inlineStr">
        <is>
          <t>Fin: GLENSHANE TOURIST SERV,31 GL,MAGHER</t>
        </is>
      </c>
      <c r="D965" t="inlineStr"/>
      <c r="E965" s="5" t="n"/>
      <c r="F965" s="5" t="n">
        <v>12.7</v>
      </c>
      <c r="G965" s="5">
        <f>G964+E965-F965</f>
        <v/>
      </c>
    </row>
    <row r="966">
      <c r="A966" s="3" t="inlineStr">
        <is>
          <t>04/03/2025</t>
        </is>
      </c>
      <c r="B966" s="3" t="inlineStr">
        <is>
          <t>1200 - Bank</t>
        </is>
      </c>
      <c r="C966" s="3" t="inlineStr">
        <is>
          <t>Fin: MCDONALDS 1525,SHORE ROAD,BELFAST,G</t>
        </is>
      </c>
      <c r="D966" s="3" t="inlineStr"/>
      <c r="E966" s="4" t="n"/>
      <c r="F966" s="4" t="n">
        <v>13.61</v>
      </c>
      <c r="G966" s="4">
        <f>G965+E966-F966</f>
        <v/>
      </c>
    </row>
    <row r="967">
      <c r="A967" t="inlineStr">
        <is>
          <t>04/03/2025</t>
        </is>
      </c>
      <c r="B967" t="inlineStr">
        <is>
          <t>1200 - Bank</t>
        </is>
      </c>
      <c r="C967" t="inlineStr">
        <is>
          <t>Fin: ULSTER BANK NORTH,ANDERSONTO,BELFAS</t>
        </is>
      </c>
      <c r="D967" t="inlineStr"/>
      <c r="E967" s="5" t="n"/>
      <c r="F967" s="5" t="n">
        <v>20</v>
      </c>
      <c r="G967" s="5">
        <f>G966+E967-F967</f>
        <v/>
      </c>
    </row>
    <row r="968">
      <c r="A968" s="3" t="inlineStr">
        <is>
          <t>04/03/2025</t>
        </is>
      </c>
      <c r="B968" s="3" t="inlineStr">
        <is>
          <t>1200 - Bank</t>
        </is>
      </c>
      <c r="C968" s="3" t="inlineStr">
        <is>
          <t>Fin: WIX.COM 1162524089,TOWER BRID,LONDO</t>
        </is>
      </c>
      <c r="D968" s="3" t="inlineStr"/>
      <c r="E968" s="4" t="n"/>
      <c r="F968" s="4" t="n">
        <v>34.8</v>
      </c>
      <c r="G968" s="4">
        <f>G967+E968-F968</f>
        <v/>
      </c>
    </row>
    <row r="969">
      <c r="A969" t="inlineStr">
        <is>
          <t>04/03/2025</t>
        </is>
      </c>
      <c r="B969" t="inlineStr">
        <is>
          <t>1200 - Bank</t>
        </is>
      </c>
      <c r="C969" t="inlineStr">
        <is>
          <t>tina brown tina</t>
        </is>
      </c>
      <c r="D969" t="inlineStr"/>
      <c r="E969" s="5" t="n"/>
      <c r="F969" s="5" t="n">
        <v>100</v>
      </c>
      <c r="G969" s="5">
        <f>G968+E969-F969</f>
        <v/>
      </c>
    </row>
    <row r="970">
      <c r="A970" s="3" t="inlineStr">
        <is>
          <t>05/03/2025</t>
        </is>
      </c>
      <c r="B970" s="3" t="inlineStr">
        <is>
          <t>1200 - Bank</t>
        </is>
      </c>
      <c r="C970" s="3" t="inlineStr">
        <is>
          <t>BROWN T TINA</t>
        </is>
      </c>
      <c r="D970" s="3" t="inlineStr"/>
      <c r="E970" s="4" t="n">
        <v>50</v>
      </c>
      <c r="F970" s="4" t="n"/>
      <c r="G970" s="4">
        <f>G969+E970-F970</f>
        <v/>
      </c>
    </row>
    <row r="971">
      <c r="A971" t="inlineStr">
        <is>
          <t>05/03/2025</t>
        </is>
      </c>
      <c r="B971" t="inlineStr">
        <is>
          <t>1200 - Bank</t>
        </is>
      </c>
      <c r="C971" t="inlineStr">
        <is>
          <t>Fin: FLAX EUROSPAR,60 ARDOYNE AVE,BELFAS</t>
        </is>
      </c>
      <c r="D971" t="inlineStr"/>
      <c r="E971" s="5" t="n"/>
      <c r="F971" s="5" t="n">
        <v>2.25</v>
      </c>
      <c r="G971" s="5">
        <f>G970+E971-F971</f>
        <v/>
      </c>
    </row>
    <row r="972">
      <c r="A972" s="3" t="inlineStr">
        <is>
          <t>05/03/2025</t>
        </is>
      </c>
      <c r="B972" s="3" t="inlineStr">
        <is>
          <t>1200 - Bank</t>
        </is>
      </c>
      <c r="C972" s="3" t="inlineStr">
        <is>
          <t>Fin: FUNKY MONKEYS ,BELFAST BT15</t>
        </is>
      </c>
      <c r="D972" s="3" t="inlineStr"/>
      <c r="E972" s="4" t="n"/>
      <c r="F972" s="4" t="n">
        <v>1.75</v>
      </c>
      <c r="G972" s="4">
        <f>G971+E972-F972</f>
        <v/>
      </c>
    </row>
    <row r="973">
      <c r="A973" t="inlineStr">
        <is>
          <t>05/03/2025</t>
        </is>
      </c>
      <c r="B973" t="inlineStr">
        <is>
          <t>1200 - Bank</t>
        </is>
      </c>
      <c r="C973" t="inlineStr">
        <is>
          <t>Fin: FUNKY MONKEYS ,BELFAST BT15</t>
        </is>
      </c>
      <c r="D973" t="inlineStr"/>
      <c r="E973" s="5" t="n"/>
      <c r="F973" s="5" t="n">
        <v>4.7</v>
      </c>
      <c r="G973" s="5">
        <f>G972+E973-F973</f>
        <v/>
      </c>
    </row>
    <row r="974">
      <c r="A974" s="3" t="inlineStr">
        <is>
          <t>05/03/2025</t>
        </is>
      </c>
      <c r="B974" s="3" t="inlineStr">
        <is>
          <t>1200 - Bank</t>
        </is>
      </c>
      <c r="C974" s="3" t="inlineStr">
        <is>
          <t>GROVE BUILDERS LTD GROVE BUILDERS LTD</t>
        </is>
      </c>
      <c r="D974" s="3" t="inlineStr"/>
      <c r="E974" s="4" t="n">
        <v>476.64</v>
      </c>
      <c r="F974" s="4" t="n"/>
      <c r="G974" s="4">
        <f>G973+E974-F974</f>
        <v/>
      </c>
    </row>
    <row r="975">
      <c r="A975" t="inlineStr">
        <is>
          <t>06/03/2025</t>
        </is>
      </c>
      <c r="B975" t="inlineStr">
        <is>
          <t>1200 - Bank</t>
        </is>
      </c>
      <c r="C975" t="inlineStr">
        <is>
          <t>**** Cashback ****</t>
        </is>
      </c>
      <c r="D975" t="inlineStr"/>
      <c r="E975" s="5" t="n">
        <v>12.33</v>
      </c>
      <c r="F975" s="5" t="n"/>
      <c r="G975" s="5">
        <f>G974+E975-F975</f>
        <v/>
      </c>
    </row>
    <row r="976">
      <c r="A976" s="3" t="inlineStr">
        <is>
          <t>06/03/2025</t>
        </is>
      </c>
      <c r="B976" s="3" t="inlineStr">
        <is>
          <t>1200 - Bank</t>
        </is>
      </c>
      <c r="C976" s="3" t="inlineStr">
        <is>
          <t>Fin: KOLORMASTER,535c Falls Road,Belfast</t>
        </is>
      </c>
      <c r="D976" s="3" t="inlineStr"/>
      <c r="E976" s="4" t="n"/>
      <c r="F976" s="4" t="n">
        <v>40</v>
      </c>
      <c r="G976" s="4">
        <f>G975+E976-F976</f>
        <v/>
      </c>
    </row>
    <row r="977">
      <c r="A977" t="inlineStr">
        <is>
          <t>06/03/2025</t>
        </is>
      </c>
      <c r="B977" t="inlineStr">
        <is>
          <t>1200 - Bank</t>
        </is>
      </c>
      <c r="C977" t="inlineStr">
        <is>
          <t>Fin: MCDONALDS,KENNEDY WAY,BELFAST,GBR</t>
        </is>
      </c>
      <c r="D977" t="inlineStr"/>
      <c r="E977" s="5" t="n"/>
      <c r="F977" s="5" t="n">
        <v>12.86</v>
      </c>
      <c r="G977" s="5">
        <f>G976+E977-F977</f>
        <v/>
      </c>
    </row>
    <row r="978">
      <c r="A978" s="3" t="inlineStr">
        <is>
          <t>07/03/2025</t>
        </is>
      </c>
      <c r="B978" s="3" t="inlineStr">
        <is>
          <t>1200 - Bank</t>
        </is>
      </c>
      <c r="C978" s="3" t="inlineStr">
        <is>
          <t>BROWN T TINA</t>
        </is>
      </c>
      <c r="D978" s="3" t="inlineStr"/>
      <c r="E978" s="4" t="n">
        <v>40</v>
      </c>
      <c r="F978" s="4" t="n"/>
      <c r="G978" s="4">
        <f>G977+E978-F978</f>
        <v/>
      </c>
    </row>
    <row r="979">
      <c r="A979" t="inlineStr">
        <is>
          <t>07/03/2025</t>
        </is>
      </c>
      <c r="B979" t="inlineStr">
        <is>
          <t>1200 - Bank</t>
        </is>
      </c>
      <c r="C979" t="inlineStr">
        <is>
          <t>Fin: E07047700000000,FALLS ROAD, ,BELFAS</t>
        </is>
      </c>
      <c r="D979" t="inlineStr"/>
      <c r="E979" s="5" t="n"/>
      <c r="F979" s="5" t="n">
        <v>480</v>
      </c>
      <c r="G979" s="5">
        <f>G978+E979-F979</f>
        <v/>
      </c>
    </row>
    <row r="980">
      <c r="A980" s="3" t="inlineStr">
        <is>
          <t>07/03/2025</t>
        </is>
      </c>
      <c r="B980" s="3" t="inlineStr">
        <is>
          <t>1200 - Bank</t>
        </is>
      </c>
      <c r="C980" s="3" t="inlineStr">
        <is>
          <t>Fin: MAXOL SSTN FORTWILLIAM,452 A,BELFAS</t>
        </is>
      </c>
      <c r="D980" s="3" t="inlineStr"/>
      <c r="E980" s="4" t="n"/>
      <c r="F980" s="4" t="n">
        <v>36.04</v>
      </c>
      <c r="G980" s="4">
        <f>G979+E980-F980</f>
        <v/>
      </c>
    </row>
    <row r="981">
      <c r="A981" t="inlineStr">
        <is>
          <t>08/03/2025</t>
        </is>
      </c>
      <c r="B981" t="inlineStr">
        <is>
          <t>1200 - Bank</t>
        </is>
      </c>
      <c r="C981" t="inlineStr">
        <is>
          <t>Fin: CENTRA LARNE PORT,1A REDLANDS ,LARN</t>
        </is>
      </c>
      <c r="D981" t="inlineStr"/>
      <c r="E981" s="5" t="n"/>
      <c r="F981" s="5" t="n">
        <v>3.1</v>
      </c>
      <c r="G981" s="5">
        <f>G980+E981-F981</f>
        <v/>
      </c>
    </row>
    <row r="982">
      <c r="A982" s="3" t="inlineStr">
        <is>
          <t>08/03/2025</t>
        </is>
      </c>
      <c r="B982" s="3" t="inlineStr">
        <is>
          <t>1200 - Bank</t>
        </is>
      </c>
      <c r="C982" s="3" t="inlineStr">
        <is>
          <t>Fin: CENTRA MONEEN,339 FINAGHY RO,BELFAS</t>
        </is>
      </c>
      <c r="D982" s="3" t="inlineStr"/>
      <c r="E982" s="4" t="n"/>
      <c r="F982" s="4" t="n">
        <v>20.13</v>
      </c>
      <c r="G982" s="4">
        <f>G981+E982-F982</f>
        <v/>
      </c>
    </row>
    <row r="983">
      <c r="A983" t="inlineStr">
        <is>
          <t>08/03/2025</t>
        </is>
      </c>
      <c r="B983" t="inlineStr">
        <is>
          <t>1200 - Bank</t>
        </is>
      </c>
      <c r="C983" t="inlineStr">
        <is>
          <t>Fin: THOMPSON AUTOMOBILES L,27/31,BELFAS</t>
        </is>
      </c>
      <c r="D983" t="inlineStr"/>
      <c r="E983" s="5" t="n"/>
      <c r="F983" s="5" t="n">
        <v>7.9</v>
      </c>
      <c r="G983" s="5">
        <f>G982+E983-F983</f>
        <v/>
      </c>
    </row>
    <row r="984">
      <c r="A984" s="3" t="inlineStr">
        <is>
          <t>10/03/2025</t>
        </is>
      </c>
      <c r="B984" s="3" t="inlineStr">
        <is>
          <t>1200 - Bank</t>
        </is>
      </c>
      <c r="C984" s="3" t="inlineStr">
        <is>
          <t>BROWN T TINA</t>
        </is>
      </c>
      <c r="D984" s="3" t="inlineStr"/>
      <c r="E984" s="4" t="n">
        <v>160</v>
      </c>
      <c r="F984" s="4" t="n"/>
      <c r="G984" s="4">
        <f>G983+E984-F984</f>
        <v/>
      </c>
    </row>
    <row r="985">
      <c r="A985" t="inlineStr">
        <is>
          <t>11/03/2025</t>
        </is>
      </c>
      <c r="B985" t="inlineStr">
        <is>
          <t>1200 - Bank</t>
        </is>
      </c>
      <c r="C985" t="inlineStr">
        <is>
          <t>BROWN T TINA</t>
        </is>
      </c>
      <c r="D985" t="inlineStr"/>
      <c r="E985" s="5" t="n">
        <v>500</v>
      </c>
      <c r="F985" s="5" t="n"/>
      <c r="G985" s="5">
        <f>G984+E985-F985</f>
        <v/>
      </c>
    </row>
    <row r="986">
      <c r="A986" s="3" t="inlineStr">
        <is>
          <t>11/03/2025</t>
        </is>
      </c>
      <c r="B986" s="3" t="inlineStr">
        <is>
          <t>1200 - Bank</t>
        </is>
      </c>
      <c r="C986" s="3" t="inlineStr">
        <is>
          <t>DD:HUGHES INSURANCE SER 00BRTX28PC01</t>
        </is>
      </c>
      <c r="D986" s="3" t="inlineStr"/>
      <c r="E986" s="4" t="n"/>
      <c r="F986" s="4" t="n">
        <v>125.55</v>
      </c>
      <c r="G986" s="4">
        <f>G985+E986-F986</f>
        <v/>
      </c>
    </row>
    <row r="987">
      <c r="A987" t="inlineStr">
        <is>
          <t>11/03/2025</t>
        </is>
      </c>
      <c r="B987" t="inlineStr">
        <is>
          <t>1200 - Bank</t>
        </is>
      </c>
      <c r="C987" t="inlineStr">
        <is>
          <t>Monthly subscription</t>
        </is>
      </c>
      <c r="D987" t="inlineStr"/>
      <c r="E987" s="5" t="n"/>
      <c r="F987" s="5" t="n">
        <v>9</v>
      </c>
      <c r="G987" s="5">
        <f>G986+E987-F987</f>
        <v/>
      </c>
    </row>
    <row r="988">
      <c r="A988" s="3" t="inlineStr">
        <is>
          <t>12/03/2025</t>
        </is>
      </c>
      <c r="B988" s="3" t="inlineStr">
        <is>
          <t>1200 - Bank</t>
        </is>
      </c>
      <c r="C988" s="3" t="inlineStr">
        <is>
          <t>Fin: E07038500000000,FALLS ROAD, ,BELFAS</t>
        </is>
      </c>
      <c r="D988" s="3" t="inlineStr"/>
      <c r="E988" s="4" t="n"/>
      <c r="F988" s="4" t="n">
        <v>491</v>
      </c>
      <c r="G988" s="4">
        <f>G987+E988-F988</f>
        <v/>
      </c>
    </row>
    <row r="989">
      <c r="A989" t="inlineStr">
        <is>
          <t>13/03/2025</t>
        </is>
      </c>
      <c r="B989" t="inlineStr">
        <is>
          <t>1200 - Bank</t>
        </is>
      </c>
      <c r="C989" t="inlineStr">
        <is>
          <t>BROWN T TINA</t>
        </is>
      </c>
      <c r="D989" t="inlineStr"/>
      <c r="E989" s="5" t="n">
        <v>40</v>
      </c>
      <c r="F989" s="5" t="n"/>
      <c r="G989" s="5">
        <f>G988+E989-F989</f>
        <v/>
      </c>
    </row>
    <row r="990">
      <c r="A990" s="3" t="inlineStr">
        <is>
          <t>13/03/2025</t>
        </is>
      </c>
      <c r="B990" s="3" t="inlineStr">
        <is>
          <t>1200 - Bank</t>
        </is>
      </c>
      <c r="C990" s="3" t="inlineStr">
        <is>
          <t>BROWN T TINA</t>
        </is>
      </c>
      <c r="D990" s="3" t="inlineStr"/>
      <c r="E990" s="4" t="n">
        <v>60</v>
      </c>
      <c r="F990" s="4" t="n"/>
      <c r="G990" s="4">
        <f>G989+E990-F990</f>
        <v/>
      </c>
    </row>
    <row r="991">
      <c r="A991" t="inlineStr">
        <is>
          <t>13/03/2025</t>
        </is>
      </c>
      <c r="B991" t="inlineStr">
        <is>
          <t>1200 - Bank</t>
        </is>
      </c>
      <c r="C991" t="inlineStr">
        <is>
          <t>tina brown tina</t>
        </is>
      </c>
      <c r="D991" t="inlineStr"/>
      <c r="E991" s="5" t="n"/>
      <c r="F991" s="5" t="n">
        <v>40</v>
      </c>
      <c r="G991" s="5">
        <f>G990+E991-F991</f>
        <v/>
      </c>
    </row>
    <row r="992">
      <c r="A992" s="3" t="inlineStr">
        <is>
          <t>14/03/2025</t>
        </is>
      </c>
      <c r="B992" s="3" t="inlineStr">
        <is>
          <t>1200 - Bank</t>
        </is>
      </c>
      <c r="C992" s="3" t="inlineStr">
        <is>
          <t>BROWN T TINA</t>
        </is>
      </c>
      <c r="D992" s="3" t="inlineStr"/>
      <c r="E992" s="4" t="n">
        <v>500</v>
      </c>
      <c r="F992" s="4" t="n"/>
      <c r="G992" s="4">
        <f>G991+E992-F992</f>
        <v/>
      </c>
    </row>
    <row r="993">
      <c r="A993" t="inlineStr">
        <is>
          <t>14/03/2025</t>
        </is>
      </c>
      <c r="B993" t="inlineStr">
        <is>
          <t>1200 - Bank</t>
        </is>
      </c>
      <c r="C993" t="inlineStr">
        <is>
          <t>Fin: KFC SHANKILL ROAD,2-16 SHANK,BELFAS</t>
        </is>
      </c>
      <c r="D993" t="inlineStr"/>
      <c r="E993" s="5" t="n"/>
      <c r="F993" s="5" t="n">
        <v>11.99</v>
      </c>
      <c r="G993" s="5">
        <f>G992+E993-F993</f>
        <v/>
      </c>
    </row>
    <row r="994">
      <c r="A994" s="3" t="inlineStr">
        <is>
          <t>14/03/2025</t>
        </is>
      </c>
      <c r="B994" s="3" t="inlineStr">
        <is>
          <t>1200 - Bank</t>
        </is>
      </c>
      <c r="C994" s="3" t="inlineStr">
        <is>
          <t>Fin: MACE RVH,Busy Bee, Royal Vic,Belfas</t>
        </is>
      </c>
      <c r="D994" s="3" t="inlineStr"/>
      <c r="E994" s="4" t="n"/>
      <c r="F994" s="4" t="n">
        <v>7</v>
      </c>
      <c r="G994" s="4">
        <f>G993+E994-F994</f>
        <v/>
      </c>
    </row>
    <row r="995">
      <c r="A995" t="inlineStr">
        <is>
          <t>14/03/2025</t>
        </is>
      </c>
      <c r="B995" t="inlineStr">
        <is>
          <t>1200 - Bank</t>
        </is>
      </c>
      <c r="C995" t="inlineStr">
        <is>
          <t>Fin: MEDICARE PHARMACY 23,ul.FALL,BELFAS</t>
        </is>
      </c>
      <c r="D995" t="inlineStr"/>
      <c r="E995" s="5" t="n"/>
      <c r="F995" s="5" t="n">
        <v>5.99</v>
      </c>
      <c r="G995" s="5">
        <f>G994+E995-F995</f>
        <v/>
      </c>
    </row>
    <row r="996">
      <c r="A996" s="3" t="inlineStr">
        <is>
          <t>14/03/2025</t>
        </is>
      </c>
      <c r="B996" s="3" t="inlineStr">
        <is>
          <t>1200 - Bank</t>
        </is>
      </c>
      <c r="C996" s="3" t="inlineStr">
        <is>
          <t>Fin: MUSGRAVE MARKET PLACE,1-15 D,BELFAS</t>
        </is>
      </c>
      <c r="D996" s="3" t="inlineStr"/>
      <c r="E996" s="4" t="n"/>
      <c r="F996" s="4" t="n">
        <v>81.69</v>
      </c>
      <c r="G996" s="4">
        <f>G995+E996-F996</f>
        <v/>
      </c>
    </row>
    <row r="997">
      <c r="A997" t="inlineStr">
        <is>
          <t>15/03/2025</t>
        </is>
      </c>
      <c r="B997" t="inlineStr">
        <is>
          <t>1200 - Bank</t>
        </is>
      </c>
      <c r="C997" t="inlineStr">
        <is>
          <t>BROWN T TINA</t>
        </is>
      </c>
      <c r="D997" t="inlineStr"/>
      <c r="E997" s="5" t="n">
        <v>110</v>
      </c>
      <c r="F997" s="5" t="n"/>
      <c r="G997" s="5">
        <f>G996+E997-F997</f>
        <v/>
      </c>
    </row>
    <row r="998">
      <c r="A998" s="3" t="inlineStr">
        <is>
          <t>15/03/2025</t>
        </is>
      </c>
      <c r="B998" s="3" t="inlineStr">
        <is>
          <t>1200 - Bank</t>
        </is>
      </c>
      <c r="C998" s="3" t="inlineStr">
        <is>
          <t>Fin: E07047900000000,BLACKSTAFF E,BELFAS</t>
        </is>
      </c>
      <c r="D998" s="3" t="inlineStr"/>
      <c r="E998" s="4" t="n"/>
      <c r="F998" s="4" t="n">
        <v>500</v>
      </c>
      <c r="G998" s="4">
        <f>G997+E998-F998</f>
        <v/>
      </c>
    </row>
    <row r="999">
      <c r="A999" t="inlineStr">
        <is>
          <t>16/03/2025</t>
        </is>
      </c>
      <c r="B999" t="inlineStr">
        <is>
          <t>1200 - Bank</t>
        </is>
      </c>
      <c r="C999" t="inlineStr">
        <is>
          <t>R&amp;a consulting and brokerages services Z</t>
        </is>
      </c>
      <c r="D999" t="inlineStr"/>
      <c r="E999" s="5" t="n">
        <v>1500</v>
      </c>
      <c r="F999" s="5" t="n"/>
      <c r="G999" s="5">
        <f>G998+E999-F999</f>
        <v/>
      </c>
    </row>
    <row r="1000">
      <c r="A1000" s="3" t="inlineStr">
        <is>
          <t>16/03/2025</t>
        </is>
      </c>
      <c r="B1000" s="3" t="inlineStr">
        <is>
          <t>1200 - Bank</t>
        </is>
      </c>
      <c r="C1000" s="3" t="inlineStr">
        <is>
          <t>gary leckey gary</t>
        </is>
      </c>
      <c r="D1000" s="3" t="inlineStr"/>
      <c r="E1000" s="4" t="n"/>
      <c r="F1000" s="4" t="n">
        <v>500</v>
      </c>
      <c r="G1000" s="4">
        <f>G999+E1000-F1000</f>
        <v/>
      </c>
    </row>
    <row r="1001">
      <c r="A1001" t="inlineStr">
        <is>
          <t>16/03/2025</t>
        </is>
      </c>
      <c r="B1001" t="inlineStr">
        <is>
          <t>1200 - Bank</t>
        </is>
      </c>
      <c r="C1001" t="inlineStr">
        <is>
          <t>tina brown tina</t>
        </is>
      </c>
      <c r="D1001" t="inlineStr"/>
      <c r="E1001" s="5" t="n"/>
      <c r="F1001" s="5" t="n">
        <v>500</v>
      </c>
      <c r="G1001" s="5">
        <f>G1000+E1001-F1001</f>
        <v/>
      </c>
    </row>
    <row r="1002">
      <c r="A1002" s="3" t="inlineStr">
        <is>
          <t>18/03/2025</t>
        </is>
      </c>
      <c r="B1002" s="3" t="inlineStr">
        <is>
          <t>1200 - Bank</t>
        </is>
      </c>
      <c r="C1002" s="3" t="inlineStr">
        <is>
          <t>Fin: E07047700000000,FALLS ROAD, ,BELFAS</t>
        </is>
      </c>
      <c r="D1002" s="3" t="inlineStr"/>
      <c r="E1002" s="4" t="n"/>
      <c r="F1002" s="4" t="n">
        <v>500</v>
      </c>
      <c r="G1002" s="4">
        <f>G1001+E1002-F1002</f>
        <v/>
      </c>
    </row>
    <row r="1003">
      <c r="A1003" t="inlineStr">
        <is>
          <t>18/03/2025</t>
        </is>
      </c>
      <c r="B1003" t="inlineStr">
        <is>
          <t>1200 - Bank</t>
        </is>
      </c>
      <c r="C1003" t="inlineStr">
        <is>
          <t>Fin: ENUK0475,16 ANTRIM ROAD,BELFAST,GBR</t>
        </is>
      </c>
      <c r="D1003" t="inlineStr"/>
      <c r="E1003" s="5" t="n"/>
      <c r="F1003" s="5" t="n">
        <v>50</v>
      </c>
      <c r="G1003" s="5">
        <f>G1002+E1003-F1003</f>
        <v/>
      </c>
    </row>
    <row r="1004">
      <c r="A1004" s="3" t="inlineStr">
        <is>
          <t>18/03/2025</t>
        </is>
      </c>
      <c r="B1004" s="3" t="inlineStr">
        <is>
          <t>1200 - Bank</t>
        </is>
      </c>
      <c r="C1004" s="3" t="inlineStr">
        <is>
          <t>Fin: INVIDEO INNOVATION,3 CHURC,SINGAPOR 35 USD XR 1.291037</t>
        </is>
      </c>
      <c r="D1004" s="3" t="inlineStr"/>
      <c r="E1004" s="4" t="n"/>
      <c r="F1004" s="4" t="n">
        <v>27.11</v>
      </c>
      <c r="G1004" s="4">
        <f>G1003+E1004-F1004</f>
        <v/>
      </c>
    </row>
    <row r="1005">
      <c r="A1005" t="inlineStr">
        <is>
          <t>21/03/2025</t>
        </is>
      </c>
      <c r="B1005" t="inlineStr">
        <is>
          <t>1200 - Bank</t>
        </is>
      </c>
      <c r="C1005" t="inlineStr">
        <is>
          <t>BROWN T TINA</t>
        </is>
      </c>
      <c r="D1005" t="inlineStr"/>
      <c r="E1005" s="5" t="n">
        <v>87</v>
      </c>
      <c r="F1005" s="5" t="n"/>
      <c r="G1005" s="5">
        <f>G1004+E1005-F1005</f>
        <v/>
      </c>
    </row>
    <row r="1006">
      <c r="A1006" s="3" t="inlineStr">
        <is>
          <t>21/03/2025</t>
        </is>
      </c>
      <c r="B1006" s="3" t="inlineStr">
        <is>
          <t>1200 - Bank</t>
        </is>
      </c>
      <c r="C1006" s="3" t="inlineStr">
        <is>
          <t>Fin: Wix.com 1167713813,Tower Brid,Londo</t>
        </is>
      </c>
      <c r="D1006" s="3" t="inlineStr"/>
      <c r="E1006" s="4" t="n"/>
      <c r="F1006" s="4" t="n">
        <v>34.8</v>
      </c>
      <c r="G1006" s="4">
        <f>G1005+E1006-F1006</f>
        <v/>
      </c>
    </row>
    <row r="1007">
      <c r="A1007" t="inlineStr">
        <is>
          <t>25/03/2025</t>
        </is>
      </c>
      <c r="B1007" t="inlineStr">
        <is>
          <t>1200 - Bank</t>
        </is>
      </c>
      <c r="C1007" t="inlineStr">
        <is>
          <t>BROWN T TINA</t>
        </is>
      </c>
      <c r="D1007" t="inlineStr"/>
      <c r="E1007" s="5" t="n">
        <v>40</v>
      </c>
      <c r="F1007" s="5" t="n"/>
      <c r="G1007" s="5">
        <f>G1006+E1007-F1007</f>
        <v/>
      </c>
    </row>
    <row r="1008">
      <c r="A1008" s="3" t="inlineStr">
        <is>
          <t>26/03/2025</t>
        </is>
      </c>
      <c r="B1008" s="3" t="inlineStr">
        <is>
          <t>1200 - Bank</t>
        </is>
      </c>
      <c r="C1008" s="3" t="inlineStr">
        <is>
          <t>Fin: GREENS SHOP LTD,85 Falls Roa,Belfas</t>
        </is>
      </c>
      <c r="D1008" s="3" t="inlineStr"/>
      <c r="E1008" s="4" t="n"/>
      <c r="F1008" s="4" t="n">
        <v>10.5</v>
      </c>
      <c r="G1008" s="4">
        <f>G1007+E1008-F1008</f>
        <v/>
      </c>
    </row>
    <row r="1009">
      <c r="A1009" t="inlineStr">
        <is>
          <t>26/03/2025</t>
        </is>
      </c>
      <c r="B1009" t="inlineStr">
        <is>
          <t>1200 - Bank</t>
        </is>
      </c>
      <c r="C1009" t="inlineStr">
        <is>
          <t>Fin: LIDL NI LTD,UNIT 1A HILLVIEW,BELFAS</t>
        </is>
      </c>
      <c r="D1009" t="inlineStr"/>
      <c r="E1009" s="5" t="n"/>
      <c r="F1009" s="5" t="n">
        <v>14.91</v>
      </c>
      <c r="G1009" s="5">
        <f>G1008+E1009-F1009</f>
        <v/>
      </c>
    </row>
    <row r="1010">
      <c r="A1010" s="3" t="inlineStr">
        <is>
          <t>26/03/2025</t>
        </is>
      </c>
      <c r="B1010" s="3" t="inlineStr">
        <is>
          <t>1200 - Bank</t>
        </is>
      </c>
      <c r="C1010" s="3" t="inlineStr">
        <is>
          <t>Fin: OCULUS *CWFSXNQZH2,4 Grand Ca,Dubli</t>
        </is>
      </c>
      <c r="D1010" s="3" t="inlineStr"/>
      <c r="E1010" s="4" t="n"/>
      <c r="F1010" s="4" t="n">
        <v>7.99</v>
      </c>
      <c r="G1010" s="4">
        <f>G1009+E1010-F1010</f>
        <v/>
      </c>
    </row>
    <row r="1011">
      <c r="A1011" t="inlineStr">
        <is>
          <t>26/03/2025</t>
        </is>
      </c>
      <c r="B1011" t="inlineStr">
        <is>
          <t>1200 - Bank</t>
        </is>
      </c>
      <c r="C1011" t="inlineStr">
        <is>
          <t>R&amp;a revolot Gary revolution</t>
        </is>
      </c>
      <c r="D1011" t="inlineStr"/>
      <c r="E1011" s="5" t="n"/>
      <c r="F1011" s="5" t="n">
        <v>46</v>
      </c>
      <c r="G1011" s="5">
        <f>G1010+E1011-F1011</f>
        <v/>
      </c>
    </row>
    <row r="1012">
      <c r="A1012" s="3" t="inlineStr">
        <is>
          <t>27/03/2025</t>
        </is>
      </c>
      <c r="B1012" s="3" t="inlineStr">
        <is>
          <t>1200 - Bank</t>
        </is>
      </c>
      <c r="C1012" s="3" t="inlineStr">
        <is>
          <t>BROWN T TINA</t>
        </is>
      </c>
      <c r="D1012" s="3" t="inlineStr"/>
      <c r="E1012" s="4" t="n">
        <v>400</v>
      </c>
      <c r="F1012" s="4" t="n"/>
      <c r="G1012" s="4">
        <f>G1011+E1012-F1012</f>
        <v/>
      </c>
    </row>
    <row r="1013">
      <c r="A1013" t="inlineStr">
        <is>
          <t>28/03/2025</t>
        </is>
      </c>
      <c r="B1013" t="inlineStr">
        <is>
          <t>1200 - Bank</t>
        </is>
      </c>
      <c r="C1013" t="inlineStr">
        <is>
          <t>DD:STRIPE RE XERO UK CDFRFWG80TABQ64IQM</t>
        </is>
      </c>
      <c r="D1013" t="inlineStr"/>
      <c r="E1013" s="5" t="n"/>
      <c r="F1013" s="5" t="n">
        <v>7.68</v>
      </c>
      <c r="G1013" s="5">
        <f>G1012+E1013-F1013</f>
        <v/>
      </c>
    </row>
    <row r="1014">
      <c r="A1014" s="3" t="inlineStr">
        <is>
          <t>28/03/2025</t>
        </is>
      </c>
      <c r="B1014" s="3" t="inlineStr">
        <is>
          <t>1200 - Bank</t>
        </is>
      </c>
      <c r="C1014" s="3" t="inlineStr">
        <is>
          <t>Fin: E07038500000000,FALLS ROAD, ,BELFAS</t>
        </is>
      </c>
      <c r="D1014" s="3" t="inlineStr"/>
      <c r="E1014" s="4" t="n"/>
      <c r="F1014" s="4" t="n">
        <v>401</v>
      </c>
      <c r="G1014" s="4">
        <f>G1013+E1014-F1014</f>
        <v/>
      </c>
    </row>
    <row r="1015">
      <c r="A1015" t="inlineStr">
        <is>
          <t>29/03/2025</t>
        </is>
      </c>
      <c r="B1015" t="inlineStr">
        <is>
          <t>1200 - Bank</t>
        </is>
      </c>
      <c r="C1015" t="inlineStr">
        <is>
          <t>BROWN T TINA</t>
        </is>
      </c>
      <c r="D1015" t="inlineStr"/>
      <c r="E1015" s="5" t="n">
        <v>350</v>
      </c>
      <c r="F1015" s="5" t="n"/>
      <c r="G1015" s="5">
        <f>G1014+E1015-F1015</f>
        <v/>
      </c>
    </row>
    <row r="1016">
      <c r="A1016" s="3" t="inlineStr">
        <is>
          <t>29/03/2025</t>
        </is>
      </c>
      <c r="B1016" s="3" t="inlineStr">
        <is>
          <t>1200 - Bank</t>
        </is>
      </c>
      <c r="C1016" s="3" t="inlineStr">
        <is>
          <t>Fin: PRISONTELE.COM,1309 Coffeen,SHERIDA</t>
        </is>
      </c>
      <c r="D1016" s="3" t="inlineStr"/>
      <c r="E1016" s="4" t="n"/>
      <c r="F1016" s="4" t="n">
        <v>30</v>
      </c>
      <c r="G1016" s="4">
        <f>G1015+E1016-F1016</f>
        <v/>
      </c>
    </row>
    <row r="1017">
      <c r="A1017" t="inlineStr">
        <is>
          <t>29/03/2025</t>
        </is>
      </c>
      <c r="B1017" t="inlineStr">
        <is>
          <t>1200 - Bank</t>
        </is>
      </c>
      <c r="C1017" t="inlineStr">
        <is>
          <t>R&amp;a revolot Gary revolution</t>
        </is>
      </c>
      <c r="D1017" t="inlineStr"/>
      <c r="E1017" s="5" t="n"/>
      <c r="F1017" s="5" t="n">
        <v>350</v>
      </c>
      <c r="G1017" s="5">
        <f>G1016+E1017-F1017</f>
        <v/>
      </c>
    </row>
    <row r="1018">
      <c r="A1018" s="3" t="inlineStr">
        <is>
          <t>30/03/2025</t>
        </is>
      </c>
      <c r="B1018" s="3" t="inlineStr">
        <is>
          <t>1200 - Bank</t>
        </is>
      </c>
      <c r="C1018" s="3" t="inlineStr">
        <is>
          <t>tina brown tina</t>
        </is>
      </c>
      <c r="D1018" s="3" t="inlineStr"/>
      <c r="E1018" s="4" t="n"/>
      <c r="F1018" s="4" t="n">
        <v>10</v>
      </c>
      <c r="G1018" s="4">
        <f>G1017+E1018-F1018</f>
        <v/>
      </c>
    </row>
    <row r="1019">
      <c r="A1019" t="inlineStr">
        <is>
          <t>01/04/2025</t>
        </is>
      </c>
      <c r="B1019" t="inlineStr">
        <is>
          <t>1200 - Bank</t>
        </is>
      </c>
      <c r="C1019" t="inlineStr">
        <is>
          <t>BROWN T TINA</t>
        </is>
      </c>
      <c r="D1019" t="inlineStr"/>
      <c r="E1019" s="5" t="n">
        <v>20</v>
      </c>
      <c r="F1019" s="5" t="n"/>
      <c r="G1019" s="5">
        <f>G1018+E1019-F1019</f>
        <v/>
      </c>
    </row>
    <row r="1020">
      <c r="A1020" s="3" t="inlineStr">
        <is>
          <t>02/04/2025</t>
        </is>
      </c>
      <c r="B1020" s="3" t="inlineStr">
        <is>
          <t>1200 - Bank</t>
        </is>
      </c>
      <c r="C1020" s="3" t="inlineStr">
        <is>
          <t>BROWN T TINA</t>
        </is>
      </c>
      <c r="D1020" s="3" t="inlineStr"/>
      <c r="E1020" s="4" t="n">
        <v>20</v>
      </c>
      <c r="F1020" s="4" t="n"/>
      <c r="G1020" s="4">
        <f>G1019+E1020-F1020</f>
        <v/>
      </c>
    </row>
    <row r="1021">
      <c r="A1021" t="inlineStr">
        <is>
          <t>02/04/2025</t>
        </is>
      </c>
      <c r="B1021" t="inlineStr">
        <is>
          <t>1200 - Bank</t>
        </is>
      </c>
      <c r="C1021" t="inlineStr">
        <is>
          <t>R&amp;a revolot Gary revolution</t>
        </is>
      </c>
      <c r="D1021" t="inlineStr"/>
      <c r="E1021" s="5" t="n"/>
      <c r="F1021" s="5" t="n">
        <v>12</v>
      </c>
      <c r="G1021" s="5">
        <f>G1020+E1021-F1021</f>
        <v/>
      </c>
    </row>
    <row r="1022">
      <c r="A1022" s="3" t="inlineStr">
        <is>
          <t>02/04/2025</t>
        </is>
      </c>
      <c r="B1022" s="3" t="inlineStr">
        <is>
          <t>1200 - Bank</t>
        </is>
      </c>
      <c r="C1022" s="3" t="inlineStr">
        <is>
          <t>R&amp;a revolot Gary revolution</t>
        </is>
      </c>
      <c r="D1022" s="3" t="inlineStr"/>
      <c r="E1022" s="4" t="n"/>
      <c r="F1022" s="4" t="n">
        <v>20</v>
      </c>
      <c r="G1022" s="4">
        <f>G1021+E1022-F1022</f>
        <v/>
      </c>
    </row>
    <row r="1023">
      <c r="A1023" t="inlineStr">
        <is>
          <t>03/04/2025</t>
        </is>
      </c>
      <c r="B1023" t="inlineStr">
        <is>
          <t>1200 - Bank</t>
        </is>
      </c>
      <c r="C1023" t="inlineStr">
        <is>
          <t>Fin: CO-OP GROUP 140006,523,Old Park Roa</t>
        </is>
      </c>
      <c r="D1023" t="inlineStr"/>
      <c r="E1023" s="5" t="n"/>
      <c r="F1023" s="5" t="n">
        <v>9.800000000000001</v>
      </c>
      <c r="G1023" s="5">
        <f>G1022+E1023-F1023</f>
        <v/>
      </c>
    </row>
    <row r="1024">
      <c r="A1024" s="3" t="inlineStr">
        <is>
          <t>06/04/2025</t>
        </is>
      </c>
      <c r="B1024" s="3" t="inlineStr">
        <is>
          <t>1200 - Bank</t>
        </is>
      </c>
      <c r="C1024" s="3" t="inlineStr">
        <is>
          <t>R&amp;a consulting and brokerages services Z</t>
        </is>
      </c>
      <c r="D1024" s="3" t="inlineStr"/>
      <c r="E1024" s="4" t="n">
        <v>500</v>
      </c>
      <c r="F1024" s="4" t="n"/>
      <c r="G1024" s="4">
        <f>G1023+E1024-F1024</f>
        <v/>
      </c>
    </row>
    <row r="1025">
      <c r="A1025" t="inlineStr">
        <is>
          <t>06/04/2025</t>
        </is>
      </c>
      <c r="B1025" t="inlineStr">
        <is>
          <t>1200 - Bank</t>
        </is>
      </c>
      <c r="C1025" t="inlineStr">
        <is>
          <t>R&amp;a revolot Gary revolution</t>
        </is>
      </c>
      <c r="D1025" t="inlineStr"/>
      <c r="E1025" s="5" t="n"/>
      <c r="F1025" s="5" t="n">
        <v>500</v>
      </c>
      <c r="G1025" s="5">
        <f>G1024+E1025-F1025</f>
        <v/>
      </c>
    </row>
    <row r="1026">
      <c r="A1026" s="3" t="inlineStr">
        <is>
          <t>07/04/2025</t>
        </is>
      </c>
      <c r="B1026" s="3" t="inlineStr">
        <is>
          <t>1200 - Bank</t>
        </is>
      </c>
      <c r="C1026" s="3" t="inlineStr">
        <is>
          <t>BROWN T TINA</t>
        </is>
      </c>
      <c r="D1026" s="3" t="inlineStr"/>
      <c r="E1026" s="4" t="n">
        <v>112</v>
      </c>
      <c r="F1026" s="4" t="n"/>
      <c r="G1026" s="4">
        <f>G1025+E1026-F1026</f>
        <v/>
      </c>
    </row>
    <row r="1027">
      <c r="A1027" t="inlineStr">
        <is>
          <t>07/04/2025</t>
        </is>
      </c>
      <c r="B1027" t="inlineStr">
        <is>
          <t>1200 - Bank</t>
        </is>
      </c>
      <c r="C1027" t="inlineStr">
        <is>
          <t>BROWN T TINA</t>
        </is>
      </c>
      <c r="D1027" t="inlineStr"/>
      <c r="E1027" s="5" t="n">
        <v>1500</v>
      </c>
      <c r="F1027" s="5" t="n"/>
      <c r="G1027" s="5">
        <f>G1026+E1027-F1027</f>
        <v/>
      </c>
    </row>
    <row r="1028">
      <c r="A1028" s="3" t="inlineStr">
        <is>
          <t>07/04/2025</t>
        </is>
      </c>
      <c r="B1028" s="3" t="inlineStr">
        <is>
          <t>1200 - Bank</t>
        </is>
      </c>
      <c r="C1028" s="3" t="inlineStr">
        <is>
          <t>BROWN T TINA</t>
        </is>
      </c>
      <c r="D1028" s="3" t="inlineStr"/>
      <c r="E1028" s="4" t="n">
        <v>20</v>
      </c>
      <c r="F1028" s="4" t="n"/>
      <c r="G1028" s="4">
        <f>G1027+E1028-F1028</f>
        <v/>
      </c>
    </row>
    <row r="1029">
      <c r="A1029" t="inlineStr">
        <is>
          <t>07/04/2025</t>
        </is>
      </c>
      <c r="B1029" t="inlineStr">
        <is>
          <t>1200 - Bank</t>
        </is>
      </c>
      <c r="C1029" t="inlineStr">
        <is>
          <t>R&amp;a revolot Gary revolution</t>
        </is>
      </c>
      <c r="D1029" t="inlineStr"/>
      <c r="E1029" s="5" t="n"/>
      <c r="F1029" s="5" t="n">
        <v>1500</v>
      </c>
      <c r="G1029" s="5">
        <f>G1028+E1029-F1029</f>
        <v/>
      </c>
    </row>
    <row r="1030">
      <c r="A1030" s="3" t="inlineStr">
        <is>
          <t>08/04/2025</t>
        </is>
      </c>
      <c r="B1030" s="3" t="inlineStr">
        <is>
          <t>1200 - Bank</t>
        </is>
      </c>
      <c r="C1030" s="3" t="inlineStr">
        <is>
          <t>**** Cashback ****</t>
        </is>
      </c>
      <c r="D1030" s="3" t="inlineStr"/>
      <c r="E1030" s="4" t="n">
        <v>3.28</v>
      </c>
      <c r="F1030" s="4" t="n"/>
      <c r="G1030" s="4">
        <f>G1029+E1030-F1030</f>
        <v/>
      </c>
    </row>
    <row r="1031">
      <c r="A1031" t="inlineStr">
        <is>
          <t>10/04/2025</t>
        </is>
      </c>
      <c r="B1031" t="inlineStr">
        <is>
          <t>1200 - Bank</t>
        </is>
      </c>
      <c r="C1031" t="inlineStr">
        <is>
          <t>BROWN T TINA</t>
        </is>
      </c>
      <c r="D1031" t="inlineStr"/>
      <c r="E1031" s="5" t="n">
        <v>200</v>
      </c>
      <c r="F1031" s="5" t="n"/>
      <c r="G1031" s="5">
        <f>G1030+E1031-F1031</f>
        <v/>
      </c>
    </row>
    <row r="1032">
      <c r="A1032" s="3" t="inlineStr">
        <is>
          <t>10/04/2025</t>
        </is>
      </c>
      <c r="B1032" s="3" t="inlineStr">
        <is>
          <t>1200 - Bank</t>
        </is>
      </c>
      <c r="C1032" s="3" t="inlineStr">
        <is>
          <t>R&amp;a revolot Gary revolution</t>
        </is>
      </c>
      <c r="D1032" s="3" t="inlineStr"/>
      <c r="E1032" s="4" t="n"/>
      <c r="F1032" s="4" t="n">
        <v>300</v>
      </c>
      <c r="G1032" s="4">
        <f>G1031+E1032-F1032</f>
        <v/>
      </c>
    </row>
    <row r="1033">
      <c r="A1033" t="inlineStr">
        <is>
          <t>11/04/2025</t>
        </is>
      </c>
      <c r="B1033" t="inlineStr">
        <is>
          <t>1200 - Bank</t>
        </is>
      </c>
      <c r="C1033" t="inlineStr">
        <is>
          <t>Fin: Adobe,4-6 Riverwalk, C,ADOBE.LY/BIL</t>
        </is>
      </c>
      <c r="D1033" t="inlineStr"/>
      <c r="E1033" s="5" t="n"/>
      <c r="F1033" s="5" t="n">
        <v>23.99</v>
      </c>
      <c r="G1033" s="5">
        <f>G1032+E1033-F1033</f>
        <v/>
      </c>
    </row>
    <row r="1034">
      <c r="A1034" s="3" t="inlineStr">
        <is>
          <t>11/04/2025</t>
        </is>
      </c>
      <c r="B1034" s="3" t="inlineStr">
        <is>
          <t>1200 - Bank</t>
        </is>
      </c>
      <c r="C1034" s="3" t="inlineStr">
        <is>
          <t>Monthly subscription</t>
        </is>
      </c>
      <c r="D1034" s="3" t="inlineStr"/>
      <c r="E1034" s="4" t="n"/>
      <c r="F1034" s="4" t="n">
        <v>9</v>
      </c>
      <c r="G1034" s="4">
        <f>G1033+E1034-F1034</f>
        <v/>
      </c>
    </row>
    <row r="1035">
      <c r="A1035" t="inlineStr">
        <is>
          <t>12/04/2025</t>
        </is>
      </c>
      <c r="B1035" t="inlineStr">
        <is>
          <t>1200 - Bank</t>
        </is>
      </c>
      <c r="C1035" t="inlineStr">
        <is>
          <t>R&amp;a consulting and brokerages services Z</t>
        </is>
      </c>
      <c r="D1035" t="inlineStr"/>
      <c r="E1035" s="5" t="n">
        <v>50</v>
      </c>
      <c r="F1035" s="5" t="n"/>
      <c r="G1035" s="5">
        <f>G1034+E1035-F1035</f>
        <v/>
      </c>
    </row>
    <row r="1036">
      <c r="A1036" s="3" t="inlineStr">
        <is>
          <t>14/04/2025</t>
        </is>
      </c>
      <c r="B1036" s="3" t="inlineStr">
        <is>
          <t>1200 - Bank</t>
        </is>
      </c>
      <c r="C1036" s="3" t="inlineStr">
        <is>
          <t>Direct Debit Rejected Payment Fee</t>
        </is>
      </c>
      <c r="D1036" s="3" t="inlineStr"/>
      <c r="E1036" s="4" t="n"/>
      <c r="F1036" s="4" t="n">
        <v>15</v>
      </c>
      <c r="G1036" s="4">
        <f>G1035+E1036-F1036</f>
        <v/>
      </c>
    </row>
    <row r="1037">
      <c r="A1037" t="inlineStr">
        <is>
          <t>14/04/2025</t>
        </is>
      </c>
      <c r="B1037" t="inlineStr">
        <is>
          <t>1200 - Bank</t>
        </is>
      </c>
      <c r="C1037" t="inlineStr">
        <is>
          <t>Fin: GLENEAGLE HOTEL,MUCKROS,KILLARNEY C 2 EUR XR 1.142857</t>
        </is>
      </c>
      <c r="D1037" t="inlineStr"/>
      <c r="E1037" s="5" t="n"/>
      <c r="F1037" s="5" t="n">
        <v>1.75</v>
      </c>
      <c r="G1037" s="5">
        <f>G1036+E1037-F1037</f>
        <v/>
      </c>
    </row>
    <row r="1038">
      <c r="A1038" s="3" t="inlineStr">
        <is>
          <t>14/04/2025</t>
        </is>
      </c>
      <c r="B1038" s="3" t="inlineStr">
        <is>
          <t>1200 - Bank</t>
        </is>
      </c>
      <c r="C1038" s="3" t="inlineStr">
        <is>
          <t>Fin: GLENEAGLE HOTEL,MUCKROS,KILLARNEY C 4.5 EUR XR 1.145038</t>
        </is>
      </c>
      <c r="D1038" s="3" t="inlineStr"/>
      <c r="E1038" s="4" t="n"/>
      <c r="F1038" s="4" t="n">
        <v>3.93</v>
      </c>
      <c r="G1038" s="4">
        <f>G1037+E1038-F1038</f>
        <v/>
      </c>
    </row>
    <row r="1039">
      <c r="A1039" t="inlineStr">
        <is>
          <t>14/04/2025</t>
        </is>
      </c>
      <c r="B1039" t="inlineStr">
        <is>
          <t>1200 - Bank</t>
        </is>
      </c>
      <c r="C1039" t="inlineStr">
        <is>
          <t>Fin: GLENEAGLE HOTEL,NEC BAR,KILLARNEY C 7.2 EUR XR 1.144674</t>
        </is>
      </c>
      <c r="D1039" t="inlineStr"/>
      <c r="E1039" s="5" t="n"/>
      <c r="F1039" s="5" t="n">
        <v>6.29</v>
      </c>
      <c r="G1039" s="5">
        <f>G1038+E1039-F1039</f>
        <v/>
      </c>
    </row>
    <row r="1040">
      <c r="A1040" s="3" t="inlineStr">
        <is>
          <t>14/04/2025</t>
        </is>
      </c>
      <c r="B1040" s="3" t="inlineStr">
        <is>
          <t>1200 - Bank</t>
        </is>
      </c>
      <c r="C1040" s="3" t="inlineStr">
        <is>
          <t>Fin: SumUp *Mr Cool Events,9 Ard na,Cor 4 EUR XR 1.142857</t>
        </is>
      </c>
      <c r="D1040" s="3" t="inlineStr"/>
      <c r="E1040" s="4" t="n"/>
      <c r="F1040" s="4" t="n">
        <v>3.5</v>
      </c>
      <c r="G1040" s="4">
        <f>G1039+E1040-F1040</f>
        <v/>
      </c>
    </row>
    <row r="1041">
      <c r="A1041" t="inlineStr">
        <is>
          <t>15/04/2025</t>
        </is>
      </c>
      <c r="B1041" t="inlineStr">
        <is>
          <t>1200 - Bank</t>
        </is>
      </c>
      <c r="C1041" t="inlineStr">
        <is>
          <t>Fin: NORTHLINK M1 LTD ,A92CK72 2.3 EUR XR 1.15</t>
        </is>
      </c>
      <c r="D1041" t="inlineStr"/>
      <c r="E1041" s="5" t="n"/>
      <c r="F1041" s="5" t="n">
        <v>2</v>
      </c>
      <c r="G1041" s="5">
        <f>G1040+E1041-F1041</f>
        <v/>
      </c>
    </row>
    <row r="1042">
      <c r="A1042" s="3" t="inlineStr">
        <is>
          <t>15/04/2025</t>
        </is>
      </c>
      <c r="B1042" s="3" t="inlineStr">
        <is>
          <t>1200 - Bank</t>
        </is>
      </c>
      <c r="C1042" s="3" t="inlineStr">
        <is>
          <t>Fin: NYA*BDS Vending Soluti,Parkav,Dubli 3.1 EUR XR 1.143911</t>
        </is>
      </c>
      <c r="D1042" s="3" t="inlineStr"/>
      <c r="E1042" s="4" t="n"/>
      <c r="F1042" s="4" t="n">
        <v>2.71</v>
      </c>
      <c r="G1042" s="4">
        <f>G1041+E1042-F1042</f>
        <v/>
      </c>
    </row>
    <row r="1043">
      <c r="A1043" t="inlineStr">
        <is>
          <t>16/04/2025</t>
        </is>
      </c>
      <c r="B1043" t="inlineStr">
        <is>
          <t>1200 - Bank</t>
        </is>
      </c>
      <c r="C1043" t="inlineStr">
        <is>
          <t>DD:STRIPE RE XERO UK CDFRFWG80TABQ64IQM</t>
        </is>
      </c>
      <c r="D1043" t="inlineStr"/>
      <c r="E1043" s="5" t="n"/>
      <c r="F1043" s="5" t="n">
        <v>7.68</v>
      </c>
      <c r="G1043" s="5">
        <f>G1042+E1043-F1043</f>
        <v/>
      </c>
    </row>
    <row r="1044">
      <c r="A1044" s="3" t="inlineStr">
        <is>
          <t>17/04/2025</t>
        </is>
      </c>
      <c r="B1044" s="3" t="inlineStr">
        <is>
          <t>1200 - Bank</t>
        </is>
      </c>
      <c r="C1044" s="3" t="inlineStr">
        <is>
          <t>BROWN T TINA</t>
        </is>
      </c>
      <c r="D1044" s="3" t="inlineStr"/>
      <c r="E1044" s="4" t="n">
        <v>220</v>
      </c>
      <c r="F1044" s="4" t="n"/>
      <c r="G1044" s="4">
        <f>G1043+E1044-F1044</f>
        <v/>
      </c>
    </row>
    <row r="1045">
      <c r="A1045" t="inlineStr">
        <is>
          <t>17/04/2025</t>
        </is>
      </c>
      <c r="B1045" t="inlineStr">
        <is>
          <t>1200 - Bank</t>
        </is>
      </c>
      <c r="C1045" t="inlineStr">
        <is>
          <t>R&amp;a consulting and brokerages services Z</t>
        </is>
      </c>
      <c r="D1045" t="inlineStr"/>
      <c r="E1045" s="5" t="n">
        <v>50</v>
      </c>
      <c r="F1045" s="5" t="n"/>
      <c r="G1045" s="5">
        <f>G1044+E1045-F1045</f>
        <v/>
      </c>
    </row>
    <row r="1046">
      <c r="A1046" s="3" t="inlineStr">
        <is>
          <t>17/04/2025</t>
        </is>
      </c>
      <c r="B1046" s="3" t="inlineStr">
        <is>
          <t>1200 - Bank</t>
        </is>
      </c>
      <c r="C1046" s="3" t="inlineStr">
        <is>
          <t>R&amp;a revolot Gary revolution</t>
        </is>
      </c>
      <c r="D1046" s="3" t="inlineStr"/>
      <c r="E1046" s="4" t="n"/>
      <c r="F1046" s="4" t="n">
        <v>220</v>
      </c>
      <c r="G1046" s="4">
        <f>G1045+E1046-F1046</f>
        <v/>
      </c>
    </row>
    <row r="1047">
      <c r="A1047" t="inlineStr">
        <is>
          <t>18/04/2025</t>
        </is>
      </c>
      <c r="B1047" t="inlineStr">
        <is>
          <t>1200 - Bank</t>
        </is>
      </c>
      <c r="C1047" t="inlineStr">
        <is>
          <t>Fin: That Prize Guy Ltd,Enterprise,Bango</t>
        </is>
      </c>
      <c r="D1047" t="inlineStr"/>
      <c r="E1047" s="5" t="n"/>
      <c r="F1047" s="5" t="n">
        <v>33.75</v>
      </c>
      <c r="G1047" s="5">
        <f>G1046+E1047-F1047</f>
        <v/>
      </c>
    </row>
    <row r="1048">
      <c r="A1048" s="3" t="inlineStr">
        <is>
          <t>19/04/2025</t>
        </is>
      </c>
      <c r="B1048" s="3" t="inlineStr">
        <is>
          <t>1200 - Bank</t>
        </is>
      </c>
      <c r="C1048" s="3" t="inlineStr">
        <is>
          <t>BROWN T TINA</t>
        </is>
      </c>
      <c r="D1048" s="3" t="inlineStr"/>
      <c r="E1048" s="4" t="n">
        <v>500</v>
      </c>
      <c r="F1048" s="4" t="n"/>
      <c r="G1048" s="4">
        <f>G1047+E1048-F1048</f>
        <v/>
      </c>
    </row>
    <row r="1049">
      <c r="A1049" t="inlineStr">
        <is>
          <t>19/04/2025</t>
        </is>
      </c>
      <c r="B1049" t="inlineStr">
        <is>
          <t>1200 - Bank</t>
        </is>
      </c>
      <c r="C1049" t="inlineStr">
        <is>
          <t>tina brown tina</t>
        </is>
      </c>
      <c r="D1049" t="inlineStr"/>
      <c r="E1049" s="5" t="n"/>
      <c r="F1049" s="5" t="n">
        <v>500</v>
      </c>
      <c r="G1049" s="5">
        <f>G1048+E1049-F1049</f>
        <v/>
      </c>
    </row>
    <row r="1050">
      <c r="A1050" s="3" t="inlineStr">
        <is>
          <t>21/04/2025</t>
        </is>
      </c>
      <c r="B1050" s="3" t="inlineStr">
        <is>
          <t>1200 - Bank</t>
        </is>
      </c>
      <c r="C1050" s="3" t="inlineStr">
        <is>
          <t>Fin: That Prize Guy Ltd,Enterprise,Bango</t>
        </is>
      </c>
      <c r="D1050" s="3" t="inlineStr"/>
      <c r="E1050" s="4" t="n"/>
      <c r="F1050" s="4" t="n">
        <v>22.5</v>
      </c>
      <c r="G1050" s="4">
        <f>G1049+E1050-F1050</f>
        <v/>
      </c>
    </row>
    <row r="1051">
      <c r="A1051" t="inlineStr">
        <is>
          <t>22/04/2025</t>
        </is>
      </c>
      <c r="B1051" t="inlineStr">
        <is>
          <t>1200 - Bank</t>
        </is>
      </c>
      <c r="C1051" t="inlineStr">
        <is>
          <t>BROWN T TINA</t>
        </is>
      </c>
      <c r="D1051" t="inlineStr"/>
      <c r="E1051" s="5" t="n">
        <v>400</v>
      </c>
      <c r="F1051" s="5" t="n"/>
      <c r="G1051" s="5">
        <f>G1050+E1051-F1051</f>
        <v/>
      </c>
    </row>
    <row r="1052">
      <c r="A1052" s="3" t="inlineStr">
        <is>
          <t>22/04/2025</t>
        </is>
      </c>
      <c r="B1052" s="3" t="inlineStr">
        <is>
          <t>1200 - Bank</t>
        </is>
      </c>
      <c r="C1052" s="3" t="inlineStr">
        <is>
          <t>R&amp;a revolot Gary revolution</t>
        </is>
      </c>
      <c r="D1052" s="3" t="inlineStr"/>
      <c r="E1052" s="4" t="n"/>
      <c r="F1052" s="4" t="n">
        <v>400</v>
      </c>
      <c r="G1052" s="4">
        <f>G1051+E1052-F1052</f>
        <v/>
      </c>
    </row>
    <row r="1053">
      <c r="A1053" t="inlineStr">
        <is>
          <t>28/04/2025</t>
        </is>
      </c>
      <c r="B1053" t="inlineStr">
        <is>
          <t>1200 - Bank</t>
        </is>
      </c>
      <c r="C1053" t="inlineStr">
        <is>
          <t>BROWN T TINA</t>
        </is>
      </c>
      <c r="D1053" t="inlineStr"/>
      <c r="E1053" s="5" t="n">
        <v>440</v>
      </c>
      <c r="F1053" s="5" t="n"/>
      <c r="G1053" s="5">
        <f>G1052+E1053-F1053</f>
        <v/>
      </c>
    </row>
    <row r="1054">
      <c r="A1054" s="3" t="inlineStr">
        <is>
          <t>29/04/2025</t>
        </is>
      </c>
      <c r="B1054" s="3" t="inlineStr">
        <is>
          <t>1200 - Bank</t>
        </is>
      </c>
      <c r="C1054" s="3" t="inlineStr">
        <is>
          <t>Fin: OCULUS *JGVZEPC2J2,4 Grand Ca,Dubli</t>
        </is>
      </c>
      <c r="D1054" s="3" t="inlineStr"/>
      <c r="E1054" s="4" t="n"/>
      <c r="F1054" s="4" t="n">
        <v>7.99</v>
      </c>
      <c r="G1054" s="4">
        <f>G1053+E1054-F1054</f>
        <v/>
      </c>
    </row>
    <row r="1055">
      <c r="A1055" t="inlineStr">
        <is>
          <t>30/04/2025</t>
        </is>
      </c>
      <c r="B1055" t="inlineStr">
        <is>
          <t>1200 - Bank</t>
        </is>
      </c>
      <c r="C1055" t="inlineStr">
        <is>
          <t>R&amp;a revolot Gary revolution</t>
        </is>
      </c>
      <c r="D1055" t="inlineStr"/>
      <c r="E1055" s="5" t="n"/>
      <c r="F1055" s="5" t="n">
        <v>420</v>
      </c>
      <c r="G1055" s="5">
        <f>G1054+E1055-F1055</f>
        <v/>
      </c>
    </row>
    <row r="1056">
      <c r="A1056" s="6" t="n"/>
      <c r="B1056" s="6" t="n"/>
      <c r="C1056" s="6" t="n"/>
      <c r="D1056" s="7" t="inlineStr">
        <is>
          <t>TOTALS</t>
        </is>
      </c>
      <c r="E1056" s="8">
        <f>SUM(E4:E1055)</f>
        <v/>
      </c>
      <c r="F1056" s="8">
        <f>SUM(F4:F1055)</f>
        <v/>
      </c>
      <c r="G1056" s="6" t="n"/>
    </row>
  </sheetData>
  <autoFilter ref="A3:G10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2026-05-09T18:26:52Z</dcterms:created>
  <dcterms:modified xmlns:dcterms="http://purl.org/dc/terms/" xmlns:xsi="http://www.w3.org/2001/XMLSchema-instance" xsi:type="dcterms:W3CDTF">2026-05-09T18:26:52Z</dcterms:modified>
</cp:coreProperties>
</file>