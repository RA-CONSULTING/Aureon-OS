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7F8C8D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8C8D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4" fontId="7" fillId="4" borderId="0" pivotButton="0" quotePrefix="0" xfId="0"/>
    <xf numFmtId="4" fontId="0" fillId="4" borderId="0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R&amp;A CONSULTING AND BROKERAGE SERVICES LTD — Management Accounts</t>
        </is>
      </c>
    </row>
    <row r="2">
      <c r="A2" s="2" t="inlineStr">
        <is>
          <t>Generated: 09/05/2026</t>
        </is>
      </c>
    </row>
    <row r="4">
      <c r="A4" s="3" t="inlineStr">
        <is>
          <t>Category</t>
        </is>
      </c>
      <c r="B4" s="3" t="inlineStr">
        <is>
          <t>Apr</t>
        </is>
      </c>
      <c r="C4" s="3" t="inlineStr">
        <is>
          <t>May</t>
        </is>
      </c>
      <c r="D4" s="3" t="inlineStr">
        <is>
          <t>Jun</t>
        </is>
      </c>
      <c r="E4" s="3" t="inlineStr">
        <is>
          <t>Jul</t>
        </is>
      </c>
      <c r="F4" s="3" t="inlineStr">
        <is>
          <t>Aug</t>
        </is>
      </c>
      <c r="G4" s="3" t="inlineStr">
        <is>
          <t>Sep</t>
        </is>
      </c>
      <c r="H4" s="3" t="inlineStr">
        <is>
          <t>Oct</t>
        </is>
      </c>
      <c r="I4" s="3" t="inlineStr">
        <is>
          <t>Nov</t>
        </is>
      </c>
      <c r="J4" s="3" t="inlineStr">
        <is>
          <t>Dec</t>
        </is>
      </c>
      <c r="K4" s="3" t="inlineStr">
        <is>
          <t>Jan</t>
        </is>
      </c>
      <c r="L4" s="3" t="inlineStr">
        <is>
          <t>Feb</t>
        </is>
      </c>
      <c r="M4" s="3" t="inlineStr">
        <is>
          <t>Mar</t>
        </is>
      </c>
      <c r="N4" s="3" t="inlineStr">
        <is>
          <t>Total</t>
        </is>
      </c>
    </row>
    <row r="5">
      <c r="A5" s="4" t="inlineStr">
        <is>
          <t>Turnover</t>
        </is>
      </c>
      <c r="B5" s="5" t="n">
        <v>4035.28</v>
      </c>
      <c r="C5" s="5" t="n">
        <v>7585.18</v>
      </c>
      <c r="D5" s="5" t="n">
        <v>4444</v>
      </c>
      <c r="E5" s="5" t="n">
        <v>4973.71</v>
      </c>
      <c r="F5" s="5" t="n">
        <v>9731.32</v>
      </c>
      <c r="G5" s="5" t="n">
        <v>9727.59</v>
      </c>
      <c r="H5" s="5" t="n">
        <v>8174.59</v>
      </c>
      <c r="I5" s="5" t="n">
        <v>13165.59</v>
      </c>
      <c r="J5" s="5" t="n">
        <v>15052.56</v>
      </c>
      <c r="K5" s="5" t="n">
        <v>3791.92</v>
      </c>
      <c r="L5" s="5" t="n">
        <v>15285.17</v>
      </c>
      <c r="M5" s="5" t="n">
        <v>4325.97</v>
      </c>
      <c r="N5" s="6">
        <f>SUM(B5:M5)</f>
        <v/>
      </c>
    </row>
    <row r="6">
      <c r="A6" s="7" t="inlineStr">
        <is>
          <t>Less: Expenses</t>
        </is>
      </c>
    </row>
    <row r="7">
      <c r="A7" s="8" t="inlineStr">
        <is>
          <t>Operating</t>
        </is>
      </c>
      <c r="B7" s="9" t="n">
        <v>4021.889999999999</v>
      </c>
      <c r="C7" s="9" t="n">
        <v>7582.88</v>
      </c>
      <c r="D7" s="9" t="n">
        <v>3767.84</v>
      </c>
      <c r="E7" s="9" t="n">
        <v>5640.500000000002</v>
      </c>
      <c r="F7" s="9" t="n">
        <v>9212.139999999999</v>
      </c>
      <c r="G7" s="9" t="n">
        <v>10253.91</v>
      </c>
      <c r="H7" s="9" t="n">
        <v>7809.299999999997</v>
      </c>
      <c r="I7" s="9" t="n">
        <v>10349.98</v>
      </c>
      <c r="J7" s="9" t="n">
        <v>18085.98</v>
      </c>
      <c r="K7" s="9" t="n">
        <v>2469.92</v>
      </c>
      <c r="L7" s="9" t="n">
        <v>15296.48000000001</v>
      </c>
      <c r="M7" s="9" t="n">
        <v>5771.67</v>
      </c>
      <c r="N7" s="10">
        <f>SUM(B7:M7)</f>
        <v/>
      </c>
    </row>
    <row r="8">
      <c r="A8" s="11" t="inlineStr">
        <is>
          <t>Total Expenses</t>
        </is>
      </c>
      <c r="B8" s="12">
        <f>SUM(B7:B7)</f>
        <v/>
      </c>
      <c r="C8" s="12">
        <f>SUM(C7:C7)</f>
        <v/>
      </c>
      <c r="D8" s="12">
        <f>SUM(D7:D7)</f>
        <v/>
      </c>
      <c r="E8" s="12">
        <f>SUM(E7:E7)</f>
        <v/>
      </c>
      <c r="F8" s="12">
        <f>SUM(F7:F7)</f>
        <v/>
      </c>
      <c r="G8" s="12">
        <f>SUM(G7:G7)</f>
        <v/>
      </c>
      <c r="H8" s="12">
        <f>SUM(H7:H7)</f>
        <v/>
      </c>
      <c r="I8" s="12">
        <f>SUM(I7:I7)</f>
        <v/>
      </c>
      <c r="J8" s="12">
        <f>SUM(J7:J7)</f>
        <v/>
      </c>
      <c r="K8" s="12">
        <f>SUM(K7:K7)</f>
        <v/>
      </c>
      <c r="L8" s="12">
        <f>SUM(L7:L7)</f>
        <v/>
      </c>
      <c r="M8" s="12">
        <f>SUM(M7:M7)</f>
        <v/>
      </c>
      <c r="N8" s="12">
        <f>SUM(N7:N7)</f>
        <v/>
      </c>
    </row>
    <row r="9">
      <c r="A9" s="13" t="inlineStr">
        <is>
          <t>Net Profit</t>
        </is>
      </c>
      <c r="B9" s="14">
        <f>B5-B8</f>
        <v/>
      </c>
      <c r="C9" s="14">
        <f>C5-C8</f>
        <v/>
      </c>
      <c r="D9" s="14">
        <f>D5-D8</f>
        <v/>
      </c>
      <c r="E9" s="14">
        <f>E5-E8</f>
        <v/>
      </c>
      <c r="F9" s="14">
        <f>F5-F8</f>
        <v/>
      </c>
      <c r="G9" s="14">
        <f>G5-G8</f>
        <v/>
      </c>
      <c r="H9" s="14">
        <f>H5-H8</f>
        <v/>
      </c>
      <c r="I9" s="14">
        <f>I5-I8</f>
        <v/>
      </c>
      <c r="J9" s="14">
        <f>J5-J8</f>
        <v/>
      </c>
      <c r="K9" s="14">
        <f>K5-K8</f>
        <v/>
      </c>
      <c r="L9" s="14">
        <f>L5-L8</f>
        <v/>
      </c>
      <c r="M9" s="14">
        <f>M5-M8</f>
        <v/>
      </c>
      <c r="N9" s="14">
        <f>N5-N8</f>
        <v/>
      </c>
    </row>
    <row r="10">
      <c r="A10" s="15" t="inlineStr">
        <is>
          <t>Net Margin %</t>
        </is>
      </c>
      <c r="B10" s="16">
        <f>IF(B5=0,0,B9/B5)</f>
        <v/>
      </c>
      <c r="C10" s="16">
        <f>IF(C5=0,0,C9/C5)</f>
        <v/>
      </c>
      <c r="D10" s="16">
        <f>IF(D5=0,0,D9/D5)</f>
        <v/>
      </c>
      <c r="E10" s="16">
        <f>IF(E5=0,0,E9/E5)</f>
        <v/>
      </c>
      <c r="F10" s="16">
        <f>IF(F5=0,0,F9/F5)</f>
        <v/>
      </c>
      <c r="G10" s="16">
        <f>IF(G5=0,0,G9/G5)</f>
        <v/>
      </c>
      <c r="H10" s="16">
        <f>IF(H5=0,0,H9/H5)</f>
        <v/>
      </c>
      <c r="I10" s="16">
        <f>IF(I5=0,0,I9/I5)</f>
        <v/>
      </c>
      <c r="J10" s="16">
        <f>IF(J5=0,0,J9/J5)</f>
        <v/>
      </c>
      <c r="K10" s="16">
        <f>IF(K5=0,0,K9/K5)</f>
        <v/>
      </c>
      <c r="L10" s="16">
        <f>IF(L5=0,0,L9/L5)</f>
        <v/>
      </c>
      <c r="M10" s="16">
        <f>IF(M5=0,0,M9/M5)</f>
        <v/>
      </c>
      <c r="N10" s="16">
        <f>IF(N5=0,0,N9/N5)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2026-05-09T18:53:06Z</dcterms:created>
  <dcterms:modified xmlns:dcterms="http://purl.org/dc/terms/" xmlns:xsi="http://www.w3.org/2001/XMLSchema-instance" xsi:type="dcterms:W3CDTF">2026-05-09T18:53:06Z</dcterms:modified>
</cp:coreProperties>
</file>