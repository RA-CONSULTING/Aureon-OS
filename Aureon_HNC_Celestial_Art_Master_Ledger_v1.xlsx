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bb9fe26d6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edger" sheetId="1" r:id="R106c65b12997404f"/>
    <x:sheet xmlns:r="http://schemas.openxmlformats.org/officeDocument/2006/relationships" name="Motif Matrix" sheetId="2" r:id="R660e4059d6a34512"/>
    <x:sheet xmlns:r="http://schemas.openxmlformats.org/officeDocument/2006/relationships" name="Calendar &amp; Number" sheetId="3" r:id="R4876f4a02f444d7d"/>
    <x:sheet xmlns:r="http://schemas.openxmlformats.org/officeDocument/2006/relationships" name="Hypothesis Register" sheetId="4" r:id="Rf7166b6c46c943d9"/>
    <x:sheet xmlns:r="http://schemas.openxmlformats.org/officeDocument/2006/relationships" name="HNC Integration" sheetId="5" r:id="Rb926f48627a24778"/>
    <x:sheet xmlns:r="http://schemas.openxmlformats.org/officeDocument/2006/relationships" name="Sources" sheetId="6" r:id="R6b82c35aa59f450f"/>
    <x:sheet xmlns:r="http://schemas.openxmlformats.org/officeDocument/2006/relationships" name="Dashboard" sheetId="7" r:id="R0ed81d8050734b34"/>
    <x:sheet xmlns:r="http://schemas.openxmlformats.org/officeDocument/2006/relationships" name="Legend" sheetId="8" r:id="R264c555c649a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1421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7F3EA"/>
      </x:patternFill>
    </x:fill>
    <x:fill>
      <x:patternFill patternType="solid">
        <x:fgColor rgb="FFB88746"/>
      </x:patternFill>
    </x:fill>
    <x:fill>
      <x:patternFill patternType="solid">
        <x:fgColor rgb="FFF4E7CF"/>
      </x:patternFill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a63695a074d2c" /><Relationship Type="http://schemas.openxmlformats.org/officeDocument/2006/relationships/theme" Target="/xl/theme/theme1.xml" Id="Rac7e374b4a3d42a2" /><Relationship Type="http://schemas.openxmlformats.org/officeDocument/2006/relationships/sharedStrings" Target="/xl/sharedStrings.xml" Id="R36af7e7ea15b4712" /><Relationship Type="http://schemas.openxmlformats.org/officeDocument/2006/relationships/worksheet" Target="/xl/worksheets/sheet1.xml" Id="R106c65b12997404f" /><Relationship Type="http://schemas.openxmlformats.org/officeDocument/2006/relationships/worksheet" Target="/xl/worksheets/sheet2.xml" Id="R660e4059d6a34512" /><Relationship Type="http://schemas.openxmlformats.org/officeDocument/2006/relationships/worksheet" Target="/xl/worksheets/sheet3.xml" Id="R4876f4a02f444d7d" /><Relationship Type="http://schemas.openxmlformats.org/officeDocument/2006/relationships/worksheet" Target="/xl/worksheets/sheet4.xml" Id="Rf7166b6c46c943d9" /><Relationship Type="http://schemas.openxmlformats.org/officeDocument/2006/relationships/worksheet" Target="/xl/worksheets/sheet5.xml" Id="Rb926f48627a24778" /><Relationship Type="http://schemas.openxmlformats.org/officeDocument/2006/relationships/worksheet" Target="/xl/worksheets/sheet6.xml" Id="R6b82c35aa59f450f" /><Relationship Type="http://schemas.openxmlformats.org/officeDocument/2006/relationships/worksheet" Target="/xl/worksheets/sheet7.xml" Id="R0ed81d8050734b34" /><Relationship Type="http://schemas.openxmlformats.org/officeDocument/2006/relationships/worksheet" Target="/xl/worksheets/sheet8.xml" Id="R264c555c649a41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5f1f7155b6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Ledger Records by Tradition Group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5f1f7155b647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LedgerTable" displayName="MasterLedgerTable" ref="A1:T20" headerRowCount="1" totalsRowCount="0" totalsRowShown="0">
  <x:tableColumns count="20">
    <x:tableColumn id="1" name="Ledger ID"/>
    <x:tableColumn id="2" name="Pillar"/>
    <x:tableColumn id="3" name="Culture / Tradition"/>
    <x:tableColumn id="4" name="Site / Region"/>
    <x:tableColumn id="5" name="Artifact / Evidence Record"/>
    <x:tableColumn id="6" name="Date / Period"/>
    <x:tableColumn id="7" name="Medium / Record Type"/>
    <x:tableColumn id="8" name="Primary Motif"/>
    <x:tableColumn id="9" name="Geometry / Mark Grammar"/>
    <x:tableColumn id="10" name="Observed Count / Structure"/>
    <x:tableColumn id="11" name="Ritual / Functional Context"/>
    <x:tableColumn id="12" name="Calendar / Astronomy Link"/>
    <x:tableColumn id="13" name="Aureon / HNC Relevance"/>
    <x:tableColumn id="14" name="Evidence Level"/>
    <x:tableColumn id="15" name="Interpretation Status"/>
    <x:tableColumn id="16" name="Confidence"/>
    <x:tableColumn id="17" name="Transmission Claim"/>
    <x:tableColumn id="18" name="Primary Source URL"/>
    <x:tableColumn id="19" name="HNC Repo Status / Path"/>
    <x:tableColumn id="20" name="Correction / Research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tifMatrixTable" displayName="MotifMatrixTable" ref="A3:J13" headerRowCount="1" totalsRowCount="0" totalsRowShown="0">
  <x:tableColumns count="10">
    <x:tableColumn id="1" name="Motif / Operation"/>
    <x:tableColumn id="2" name="Minoan Strength (0–3)"/>
    <x:tableColumn id="3" name="Minoan Anchor"/>
    <x:tableColumn id="4" name="Maya Strength (0–3)"/>
    <x:tableColumn id="5" name="Maya Anchor"/>
    <x:tableColumn id="6" name="Mimbres / SW Strength (0–3)"/>
    <x:tableColumn id="7" name="Mimbres / SW Anchor"/>
    <x:tableColumn id="8" name="Cross-Cultural Reading"/>
    <x:tableColumn id="9" name="Evidence Risk"/>
    <x:tableColumn id="10" name="Next Measur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NumberTable" displayName="CalendarNumberTable" ref="A3:J13" headerRowCount="1" totalsRowCount="0" totalsRowShown="0">
  <x:tableColumns count="10">
    <x:tableColumn id="1" name="System / Record"/>
    <x:tableColumn id="2" name="Culture"/>
    <x:tableColumn id="3" name="Native Structure"/>
    <x:tableColumn id="4" name="Value / Formula A"/>
    <x:tableColumn id="5" name="Value / Formula B"/>
    <x:tableColumn id="6" name="Derived / Recurrence"/>
    <x:tableColumn id="7" name="Evidence Status"/>
    <x:tableColumn id="8" name="What Is Comparable"/>
    <x:tableColumn id="9" name="What Is Not Comparable"/>
    <x:tableColumn id="10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ypothesisTable" displayName="HypothesisTable" ref="A3:J10" headerRowCount="1" totalsRowCount="0" totalsRowShown="0">
  <x:tableColumns count="10">
    <x:tableColumn id="1" name="ID"/>
    <x:tableColumn id="2" name="Hypothesis"/>
    <x:tableColumn id="3" name="Evidence For"/>
    <x:tableColumn id="4" name="Evidence Against / Null"/>
    <x:tableColumn id="5" name="Test"/>
    <x:tableColumn id="6" name="Status"/>
    <x:tableColumn id="7" name="Priority"/>
    <x:tableColumn id="8" name="Current Confidence"/>
    <x:tableColumn id="9" name="Decision Rule"/>
    <x:tableColumn id="10" name="Nex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NCIntegrationTable" displayName="HNCIntegrationTable" ref="A3:H9" headerRowCount="1" totalsRowCount="0" totalsRowShown="0">
  <x:tableColumns count="8">
    <x:tableColumn id="1" name="Layer"/>
    <x:tableColumn id="2" name="Current State"/>
    <x:tableColumn id="3" name="Repo Path / Proposed Path"/>
    <x:tableColumn id="4" name="What It Encodes"/>
    <x:tableColumn id="5" name="Problem / Gap"/>
    <x:tableColumn id="6" name="Ledger Dependency"/>
    <x:tableColumn id="7" name="Required Change"/>
    <x:tableColumn id="8" name="Verification Te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F22" headerRowCount="1" totalsRowCount="0" totalsRowShown="0">
  <x:tableColumns count="6">
    <x:tableColumn id="1" name="Source ID"/>
    <x:tableColumn id="2" name="Institution / Authority"/>
    <x:tableColumn id="3" name="Source Type"/>
    <x:tableColumn id="4" name="Supports Ledger IDs"/>
    <x:tableColumn id="5" name="URL"/>
    <x:tableColumn id="6" name="Use /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ed514225448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624140149f43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287a86fa2d48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ae48309b424d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a1e3a018ef4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8ac242dc7648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e55387045b34ae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4" hidden="0" customWidth="1"/>
    <x:col min="5" max="5" width="32" hidden="0" customWidth="1"/>
    <x:col min="6" max="6" width="18" hidden="0" customWidth="1"/>
    <x:col min="7" max="7" width="24" hidden="0" customWidth="1"/>
    <x:col min="8" max="8" width="22" hidden="0" customWidth="1"/>
    <x:col min="9" max="9" width="32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28" hidden="0" customWidth="1"/>
    <x:col min="15" max="15" width="34" hidden="0" customWidth="1"/>
    <x:col min="16" max="16" width="12" hidden="0" customWidth="1"/>
    <x:col min="17" max="17" width="18" hidden="0" customWidth="1"/>
    <x:col min="18" max="18" width="46" hidden="0" customWidth="1"/>
    <x:col min="19" max="19" width="38" hidden="0" customWidth="1"/>
    <x:col min="20" max="20" width="44" hidden="0" customWidth="1"/>
  </x:cols>
  <x:sheetData>
    <x:row r="1">
      <x:c r="A1" s="6" t="str">
        <x:v>Ledger ID</x:v>
      </x:c>
      <x:c r="B1" s="6" t="str">
        <x:v>Pillar</x:v>
      </x:c>
      <x:c r="C1" s="6" t="str">
        <x:v>Culture / Tradition</x:v>
      </x:c>
      <x:c r="D1" s="6" t="str">
        <x:v>Site / Region</x:v>
      </x:c>
      <x:c r="E1" s="6" t="str">
        <x:v>Artifact / Evidence Record</x:v>
      </x:c>
      <x:c r="F1" s="6" t="str">
        <x:v>Date / Period</x:v>
      </x:c>
      <x:c r="G1" s="6" t="str">
        <x:v>Medium / Record Type</x:v>
      </x:c>
      <x:c r="H1" s="6" t="str">
        <x:v>Primary Motif</x:v>
      </x:c>
      <x:c r="I1" s="6" t="str">
        <x:v>Geometry / Mark Grammar</x:v>
      </x:c>
      <x:c r="J1" s="6" t="str">
        <x:v>Observed Count / Structure</x:v>
      </x:c>
      <x:c r="K1" s="6" t="str">
        <x:v>Ritual / Functional Context</x:v>
      </x:c>
      <x:c r="L1" s="6" t="str">
        <x:v>Calendar / Astronomy Link</x:v>
      </x:c>
      <x:c r="M1" s="6" t="str">
        <x:v>Aureon / HNC Relevance</x:v>
      </x:c>
      <x:c r="N1" s="6" t="str">
        <x:v>Evidence Level</x:v>
      </x:c>
      <x:c r="O1" s="6" t="str">
        <x:v>Interpretation Status</x:v>
      </x:c>
      <x:c r="P1" s="6" t="str">
        <x:v>Confidence</x:v>
      </x:c>
      <x:c r="Q1" s="6" t="str">
        <x:v>Transmission Claim</x:v>
      </x:c>
      <x:c r="R1" s="6" t="str">
        <x:v>Primary Source URL</x:v>
      </x:c>
      <x:c r="S1" s="6" t="str">
        <x:v>HNC Repo Status / Path</x:v>
      </x:c>
      <x:c r="T1" s="6" t="str">
        <x:v>Correction / Research Note</x:v>
      </x:c>
    </x:row>
    <x:row r="2">
      <x:c r="A2" s="13" t="str">
        <x:v>MIN-001</x:v>
      </x:c>
      <x:c r="B2" s="13" t="str">
        <x:v>Pillar 1 — Maya × Minoan</x:v>
      </x:c>
      <x:c r="C2" s="13" t="str">
        <x:v>Minoan / Aegean</x:v>
      </x:c>
      <x:c r="D2" s="13" t="str">
        <x:v>Akrotiri, Thera</x:v>
      </x:c>
      <x:c r="E2" s="13" t="str">
        <x:v>Late Bronze Age spiral fresco geometry</x:v>
      </x:c>
      <x:c r="F2" s="13" t="str">
        <x:v>Late Bronze Age</x:v>
      </x:c>
      <x:c r="G2" s="13" t="str">
        <x:v>Wall painting / geometric analysis</x:v>
      </x:c>
      <x:c r="H2" s="13" t="str">
        <x:v>Continuous spiral</x:v>
      </x:c>
      <x:c r="I2" s="13" t="str">
        <x:v>Archimedean / linear spiral; controlled repeated curve</x:v>
      </x:c>
      <x:c r="J2" s="13" t="str">
        <x:v>Published analysis fits fresco contours to two linear spirals among six geometric guides</x:v>
      </x:c>
      <x:c r="K2" s="13" t="str">
        <x:v>Decorative / representational wall painting</x:v>
      </x:c>
      <x:c r="L2" s="13" t="str">
        <x:v>Potential cycle/recurrence morphology; not a calendar by itself</x:v>
      </x:c>
      <x:c r="M2" s="13" t="str">
        <x:v>Reference specimen for SPIRAL channel and geometric feature extraction</x:v>
      </x:c>
      <x:c r="N2" s="13" t="str">
        <x:v>Peer-reviewed geometric analysis</x:v>
      </x:c>
      <x:c r="O2" s="13" t="str">
        <x:v>Observed + scholarly interpretation</x:v>
      </x:c>
      <x:c r="P2" s="16" t="n">
        <x:v>0.9</x:v>
      </x:c>
      <x:c r="Q2" s="13" t="str">
        <x:v>Unproven</x:v>
      </x:c>
      <x:c r="R2" s="13" t="str">
        <x:v>https://www.maajournal.com/index.php/maa/article/view/874</x:v>
      </x:c>
      <x:c r="S2" s="13" t="str">
        <x:v>Proposed: aureon/decoders/minoan_decoder.py</x:v>
      </x:c>
      <x:c r="T2" s="13" t="str">
        <x:v>Measure turns, pitch, chirality, dot placement from authenticated images.</x:v>
      </x:c>
    </x:row>
    <x:row r="3">
      <x:c r="A3" s="13" t="str">
        <x:v>MIN-002</x:v>
      </x:c>
      <x:c r="B3" s="13" t="str">
        <x:v>Pillar 1 — Maya × Minoan</x:v>
      </x:c>
      <x:c r="C3" s="13" t="str">
        <x:v>Minoan</x:v>
      </x:c>
      <x:c r="D3" s="13" t="str">
        <x:v>Phaistos, Crete</x:v>
      </x:c>
      <x:c r="E3" s="13" t="str">
        <x:v>Phaistos Disc</x:v>
      </x:c>
      <x:c r="F3" s="13" t="str">
        <x:v>c. 1700–1650 BCE</x:v>
      </x:c>
      <x:c r="G3" s="13" t="str">
        <x:v>Fired clay inscribed disc</x:v>
      </x:c>
      <x:c r="H3" s="13" t="str">
        <x:v>Spiral inscription + dot marker</x:v>
      </x:c>
      <x:c r="I3" s="13" t="str">
        <x:v>Radial/spiral reading field; grouped stamped signs</x:v>
      </x:c>
      <x:c r="J3" s="13" t="str">
        <x:v>241 signs; 61 groups; start/direction marked by a vertical line with five dots</x:v>
      </x:c>
      <x:c r="K3" s="13" t="str">
        <x:v>Unknown; museum notes possible hymn/incantation interpretation</x:v>
      </x:c>
      <x:c r="L3" s="13" t="str">
        <x:v>Spiral ordering is factual; calendrical function not established</x:v>
      </x:c>
      <x:c r="M3" s="13" t="str">
        <x:v>Core spiral/grouping record; candidate for MARK→GROUP→TURN grammar</x:v>
      </x:c>
      <x:c r="N3" s="13" t="str">
        <x:v>Museum primary object record</x:v>
      </x:c>
      <x:c r="O3" s="13" t="str">
        <x:v>Observed fact; function unresolved</x:v>
      </x:c>
      <x:c r="P3" s="16" t="n">
        <x:v>0.95</x:v>
      </x:c>
      <x:c r="Q3" s="13" t="str">
        <x:v>Unproven</x:v>
      </x:c>
      <x:c r="R3" s="13" t="str">
        <x:v>https://www.heraklionmuseum.gr/en/exhibit/the-phaistos-disc/</x:v>
      </x:c>
      <x:c r="S3" s="13" t="str">
        <x:v>Proposed Minoan evidence channel</x:v>
      </x:c>
      <x:c r="T3" s="13" t="str">
        <x:v>Do not label as calendar unless independent evidence establishes calendrical use.</x:v>
      </x:c>
    </x:row>
    <x:row r="4">
      <x:c r="A4" s="13" t="str">
        <x:v>MIN-003</x:v>
      </x:c>
      <x:c r="B4" s="13" t="str">
        <x:v>Pillar 1 — Maya × Minoan</x:v>
      </x:c>
      <x:c r="C4" s="13" t="str">
        <x:v>Minoan</x:v>
      </x:c>
      <x:c r="D4" s="13" t="str">
        <x:v>Knossos / Mavrospelio, Crete</x:v>
      </x:c>
      <x:c r="E4" s="13" t="str">
        <x:v>Gold ring with spiral Linear A inscription</x:v>
      </x:c>
      <x:c r="F4" s="13" t="str">
        <x:v>1700–1600 BCE</x:v>
      </x:c>
      <x:c r="G4" s="13" t="str">
        <x:v>Gold funerary ring / inscription</x:v>
      </x:c>
      <x:c r="H4" s="13" t="str">
        <x:v>Spiral writing</x:v>
      </x:c>
      <x:c r="I4" s="13" t="str">
        <x:v>Outer edge → centre inscription; miniaturised text</x:v>
      </x:c>
      <x:c r="J4" s="13" t="str">
        <x:v>Linear A inscription arranged spirally; museum compares arrangement to Phaistos Disc</x:v>
      </x:c>
      <x:c r="K4" s="13" t="str">
        <x:v>High-status funerary offering; possible magical object per museum</x:v>
      </x:c>
      <x:c r="L4" s="13" t="str">
        <x:v>No direct calendar function established</x:v>
      </x:c>
      <x:c r="M4" s="13" t="str">
        <x:v>Strong evidence for spiral as an information-layout operation, not merely ornament</x:v>
      </x:c>
      <x:c r="N4" s="13" t="str">
        <x:v>Museum primary object record</x:v>
      </x:c>
      <x:c r="O4" s="13" t="str">
        <x:v>Observed fact + museum interpretation</x:v>
      </x:c>
      <x:c r="P4" s="16" t="n">
        <x:v>0.95</x:v>
      </x:c>
      <x:c r="Q4" s="13" t="str">
        <x:v>Unproven</x:v>
      </x:c>
      <x:c r="R4" s="13" t="str">
        <x:v>https://www.heraklionmuseum.gr/en/exhibit/gold-ring-with-spiral-linear-a-inscription/</x:v>
      </x:c>
      <x:c r="S4" s="13" t="str">
        <x:v>Proposed Minoan evidence channel</x:v>
      </x:c>
      <x:c r="T4" s="13" t="str">
        <x:v>Important distinction: spiral carries writing/information here.</x:v>
      </x:c>
    </x:row>
    <x:row r="5">
      <x:c r="A5" s="13" t="str">
        <x:v>MIN-004</x:v>
      </x:c>
      <x:c r="B5" s="13" t="str">
        <x:v>Pillar 1 — Maya × Minoan</x:v>
      </x:c>
      <x:c r="C5" s="13" t="str">
        <x:v>Minoan</x:v>
      </x:c>
      <x:c r="D5" s="13" t="str">
        <x:v>Knossos, Crete</x:v>
      </x:c>
      <x:c r="E5" s="13" t="str">
        <x:v>Marine Style octopus pottery sherd</x:v>
      </x:c>
      <x:c r="F5" s="13" t="str">
        <x:v>c. 1450 BCE</x:v>
      </x:c>
      <x:c r="G5" s="13" t="str">
        <x:v>Painted pottery</x:v>
      </x:c>
      <x:c r="H5" s="13" t="str">
        <x:v>Coiling tentacle / dense field</x:v>
      </x:c>
      <x:c r="I5" s="13" t="str">
        <x:v>Curvilinear overlap; whole-surface occupation; movement</x:v>
      </x:c>
      <x:c r="J5" s="13" t="str">
        <x:v>Octopus tentacle, suckers, seaweed and rockwork; Marine Style repeated across vessel forms</x:v>
      </x:c>
      <x:c r="K5" s="13" t="str">
        <x:v>Some Marine Style vessels occur in ritual/libation contexts; not all are ritual</x:v>
      </x:c>
      <x:c r="L5" s="13" t="str">
        <x:v>Movement/recurrence morphology; not inherently calendrical</x:v>
      </x:c>
      <x:c r="M5" s="13" t="str">
        <x:v>Reference for DENSE_FIELD, COIL, ENCLOSURE and movement channels</x:v>
      </x:c>
      <x:c r="N5" s="13" t="str">
        <x:v>National museum collection record</x:v>
      </x:c>
      <x:c r="O5" s="13" t="str">
        <x:v>Observed fact + contextual interpretation</x:v>
      </x:c>
      <x:c r="P5" s="16" t="n">
        <x:v>0.92</x:v>
      </x:c>
      <x:c r="Q5" s="13" t="str">
        <x:v>Unproven</x:v>
      </x:c>
      <x:c r="R5" s="13" t="str">
        <x:v>https://cms.museum.ie/en-IE/Collections-Research/Collection/Documentation-Discoveries/Artefact/Minoan-Pottery-Sherd/8c8d39cb-bbfd-4fea-ac47-dc29666aa08e</x:v>
      </x:c>
      <x:c r="S5" s="13" t="str">
        <x:v>Proposed Minoan evidence channel</x:v>
      </x:c>
      <x:c r="T5" s="13" t="str">
        <x:v>Keep decorative, ritual, and astronomical interpretations separate.</x:v>
      </x:c>
    </x:row>
    <x:row r="6">
      <x:c r="A6" s="13" t="str">
        <x:v>MIN-005</x:v>
      </x:c>
      <x:c r="B6" s="13" t="str">
        <x:v>Pillar 1 — Maya × Minoan</x:v>
      </x:c>
      <x:c r="C6" s="13" t="str">
        <x:v>Late Minoan</x:v>
      </x:c>
      <x:c r="D6" s="13" t="str">
        <x:v>Crete</x:v>
      </x:c>
      <x:c r="E6" s="13" t="str">
        <x:v>Pair of votive double-axes</x:v>
      </x:c>
      <x:c r="F6" s="13" t="str">
        <x:v>c. 1600 BCE</x:v>
      </x:c>
      <x:c r="G6" s="13" t="str">
        <x:v>Bronze votive objects</x:v>
      </x:c>
      <x:c r="H6" s="13" t="str">
        <x:v>Labrys / double axe</x:v>
      </x:c>
      <x:c r="I6" s="13" t="str">
        <x:v>Bilateral symmetry; double-bladed silhouette</x:v>
      </x:c>
      <x:c r="J6" s="13" t="str">
        <x:v>Pair of bronze votive double-axes</x:v>
      </x:c>
      <x:c r="K6" s="13" t="str">
        <x:v>Votive offering / cultic context</x:v>
      </x:c>
      <x:c r="L6" s="13" t="str">
        <x:v>No direct calendar function established</x:v>
      </x:c>
      <x:c r="M6" s="13" t="str">
        <x:v>Ritual-form comparator for Mesoamerican hacha; secondary channel</x:v>
      </x:c>
      <x:c r="N6" s="13" t="str">
        <x:v>Museum primary object record</x:v>
      </x:c>
      <x:c r="O6" s="13" t="str">
        <x:v>Observed fact</x:v>
      </x:c>
      <x:c r="P6" s="16" t="n">
        <x:v>0.95</x:v>
      </x:c>
      <x:c r="Q6" s="13" t="str">
        <x:v>Unproven</x:v>
      </x:c>
      <x:c r="R6" s="13" t="str">
        <x:v>https://www.britishmuseum.org/collection/object/G_1934-1124-1</x:v>
      </x:c>
      <x:c r="S6" s="13" t="str">
        <x:v>Proposed Minoan LABRYS channel</x:v>
      </x:c>
      <x:c r="T6" s="13" t="str">
        <x:v>Do not equate labrys with Maya manopla; hacha is the closer axe-form comparator.</x:v>
      </x:c>
    </x:row>
    <x:row r="7">
      <x:c r="A7" s="13" t="str">
        <x:v>MIN-006</x:v>
      </x:c>
      <x:c r="B7" s="13" t="str">
        <x:v>Pillar 1 — Maya × Minoan</x:v>
      </x:c>
      <x:c r="C7" s="13" t="str">
        <x:v>Minoan</x:v>
      </x:c>
      <x:c r="D7" s="13" t="str">
        <x:v>Zakros, Crete</x:v>
      </x:c>
      <x:c r="E7" s="13" t="str">
        <x:v>Sanctuary Rhyton with spirals and horns of consecration</x:v>
      </x:c>
      <x:c r="F7" s="13" t="str">
        <x:v>1600–1450 BCE</x:v>
      </x:c>
      <x:c r="G7" s="13" t="str">
        <x:v>Green steatite ritual libation vessel</x:v>
      </x:c>
      <x:c r="H7" s="13" t="str">
        <x:v>Spiral + horns of consecration</x:v>
      </x:c>
      <x:c r="I7" s="13" t="str">
        <x:v>Sacred-space enclosure; spiral decoration; paired horn forms</x:v>
      </x:c>
      <x:c r="J7" s="13" t="str">
        <x:v>Tripartite sanctuary; closed door decorated with spirals; structures crowned with horns</x:v>
      </x:c>
      <x:c r="K7" s="13" t="str">
        <x:v>Official palace cult / ritual libation</x:v>
      </x:c>
      <x:c r="L7" s="13" t="str">
        <x:v>Possible spatial/celestial symbolism; no direct calendar value established</x:v>
      </x:c>
      <x:c r="M7" s="13" t="str">
        <x:v>Combined SPIRAL + HORNS + SACRED_SPACE reference</x:v>
      </x:c>
      <x:c r="N7" s="13" t="str">
        <x:v>Museum primary object record</x:v>
      </x:c>
      <x:c r="O7" s="13" t="str">
        <x:v>Observed fact + museum interpretation</x:v>
      </x:c>
      <x:c r="P7" s="16" t="n">
        <x:v>0.94</x:v>
      </x:c>
      <x:c r="Q7" s="13" t="str">
        <x:v>Unproven</x:v>
      </x:c>
      <x:c r="R7" s="13" t="str">
        <x:v>https://heraklionmuseum.gr/en/exhibit/green-steatite-rhyton-with-relief-open-air-sanctuary/</x:v>
      </x:c>
      <x:c r="S7" s="13" t="str">
        <x:v>Proposed Minoan evidence channel</x:v>
      </x:c>
      <x:c r="T7" s="13" t="str">
        <x:v>Use as a verified Minoan sacred-space reference before comparing Maya framing motifs.</x:v>
      </x:c>
    </x:row>
    <x:row r="8">
      <x:c r="A8" s="13" t="str">
        <x:v>MIN-007</x:v>
      </x:c>
      <x:c r="B8" s="13" t="str">
        <x:v>Pillar 1 — Maya × Minoan</x:v>
      </x:c>
      <x:c r="C8" s="13" t="str">
        <x:v>Minoan tradition</x:v>
      </x:c>
      <x:c r="D8" s="13" t="str">
        <x:v>Patsos, Crete</x:v>
      </x:c>
      <x:c r="E8" s="13" t="str">
        <x:v>Clay horns of consecration</x:v>
      </x:c>
      <x:c r="F8" s="13" t="str">
        <x:v>1200–970 BCE</x:v>
      </x:c>
      <x:c r="G8" s="13" t="str">
        <x:v>Clay ritual object</x:v>
      </x:c>
      <x:c r="H8" s="13" t="str">
        <x:v>Paired horns</x:v>
      </x:c>
      <x:c r="I8" s="13" t="str">
        <x:v>Bifurcated / U-shaped sacred marker</x:v>
      </x:c>
      <x:c r="J8" s="13" t="str">
        <x:v>Horns-of-consecration object with central shaft and lifting rings</x:v>
      </x:c>
      <x:c r="K8" s="13" t="str">
        <x:v>Minoan ritual symbol appearing in architecture, vase-painting and metalwork</x:v>
      </x:c>
      <x:c r="L8" s="13" t="str">
        <x:v>No direct calendar function established</x:v>
      </x:c>
      <x:c r="M8" s="13" t="str">
        <x:v>Canonical HORNS morphology reference</x:v>
      </x:c>
      <x:c r="N8" s="13" t="str">
        <x:v>Museum collection record</x:v>
      </x:c>
      <x:c r="O8" s="13" t="str">
        <x:v>Observed fact</x:v>
      </x:c>
      <x:c r="P8" s="16" t="n">
        <x:v>0.96</x:v>
      </x:c>
      <x:c r="Q8" s="13" t="str">
        <x:v>Unproven</x:v>
      </x:c>
      <x:c r="R8" s="13" t="str">
        <x:v>https://ca.heraklionmuseum.gr/ca/pawtucket/index.php/Detail/objects/538</x:v>
      </x:c>
      <x:c r="S8" s="13" t="str">
        <x:v>Proposed Minoan evidence channel</x:v>
      </x:c>
      <x:c r="T8" s="13" t="str">
        <x:v>Maya paired-horn analogy remains tentative pending a defined recurrent Maya motif class.</x:v>
      </x:c>
    </x:row>
    <x:row r="9">
      <x:c r="A9" s="13" t="str">
        <x:v>MAY-001</x:v>
      </x:c>
      <x:c r="B9" s="13" t="str">
        <x:v>Pillar 1 — Maya × Minoan</x:v>
      </x:c>
      <x:c r="C9" s="13" t="str">
        <x:v>Maya; Teotihuacan-style influence</x:v>
      </x:c>
      <x:c r="D9" s="13" t="str">
        <x:v>Guatemala / Mesoamerica</x:v>
      </x:c>
      <x:c r="E9" s="13" t="str">
        <x:v>Yoke-form vessel</x:v>
      </x:c>
      <x:c r="F9" s="13" t="str">
        <x:v>350–450 CE</x:v>
      </x:c>
      <x:c r="G9" s="13" t="str">
        <x:v>Ceramic vessel</x:v>
      </x:c>
      <x:c r="H9" s="13" t="str">
        <x:v>Spirals + speech scrolls / volutes</x:v>
      </x:c>
      <x:c r="I9" s="13" t="str">
        <x:v>Curvilinear scroll; dense layered visual field; U-shaped yoke</x:v>
      </x:c>
      <x:c r="J9" s="13" t="str">
        <x:v>Spiral motifs on feet; long scrolls issue from mouths; feathered compounds include volutes</x:v>
      </x:c>
      <x:c r="K9" s="13" t="str">
        <x:v>Ballgame narrative; ritual/sacrificial context interpreted by museum</x:v>
      </x:c>
      <x:c r="L9" s="13" t="str">
        <x:v>No direct calendar function on this object</x:v>
      </x:c>
      <x:c r="M9" s="13" t="str">
        <x:v>Strong Maya-side SPIRAL/SCROLL/DENSE_FIELD reference</x:v>
      </x:c>
      <x:c r="N9" s="13" t="str">
        <x:v>Museum primary object record</x:v>
      </x:c>
      <x:c r="O9" s="13" t="str">
        <x:v>Observed fact + museum interpretation</x:v>
      </x:c>
      <x:c r="P9" s="16" t="n">
        <x:v>0.93</x:v>
      </x:c>
      <x:c r="Q9" s="13" t="str">
        <x:v>Unproven</x:v>
      </x:c>
      <x:c r="R9" s="13" t="str">
        <x:v>https://www.metmuseum.org/art/collection/search/309713</x:v>
      </x:c>
      <x:c r="S9" s="13" t="str">
        <x:v>Existing Maya decoder: aureon/decoders/maya_decoder.py</x:v>
      </x:c>
      <x:c r="T9" s="13" t="str">
        <x:v>Use Maya-specific scrolls for Maya claims; reserve xicalcoliuhqui for wider Mesoamerican comparison.</x:v>
      </x:c>
    </x:row>
    <x:row r="10">
      <x:c r="A10" s="13" t="str">
        <x:v>MAY-002</x:v>
      </x:c>
      <x:c r="B10" s="13" t="str">
        <x:v>Pillar 1 — Maya × Minoan</x:v>
      </x:c>
      <x:c r="C10" s="13" t="str">
        <x:v>Maya</x:v>
      </x:c>
      <x:c r="D10" s="13" t="str">
        <x:v>Guatemala</x:v>
      </x:c>
      <x:c r="E10" s="13" t="str">
        <x:v>Maya stone hacha</x:v>
      </x:c>
      <x:c r="F10" s="13" t="str">
        <x:v>250–1000 CE</x:v>
      </x:c>
      <x:c r="G10" s="13" t="str">
        <x:v>Stone ballgame ceremonial object</x:v>
      </x:c>
      <x:c r="H10" s="13" t="str">
        <x:v>Axe-form / hacha</x:v>
      </x:c>
      <x:c r="I10" s="13" t="str">
        <x:v>Flattened axe/head form; fitted to yoke in ceremony</x:v>
      </x:c>
      <x:c r="J10" s="13" t="str">
        <x:v>Museum distinguishes hacha from manopla; hacha sometimes attached to yoke after play</x:v>
      </x:c>
      <x:c r="K10" s="13" t="str">
        <x:v>Ballgame ceremonial equipment</x:v>
      </x:c>
      <x:c r="L10" s="13" t="str">
        <x:v>No direct calendar function established</x:v>
      </x:c>
      <x:c r="M10" s="13" t="str">
        <x:v>Secondary ritual-form comparison with Minoan labrys</x:v>
      </x:c>
      <x:c r="N10" s="13" t="str">
        <x:v>University museum collection context</x:v>
      </x:c>
      <x:c r="O10" s="13" t="str">
        <x:v>Observed fact + functional interpretation</x:v>
      </x:c>
      <x:c r="P10" s="16" t="n">
        <x:v>0.9</x:v>
      </x:c>
      <x:c r="Q10" s="13" t="str">
        <x:v>Unproven</x:v>
      </x:c>
      <x:c r="R10" s="13" t="str">
        <x:v>https://umaine.edu/hudsonmuseum/maya/ballgame-2/</x:v>
      </x:c>
      <x:c r="S10" s="13" t="str">
        <x:v>Existing Maya context; proposed RITUAL_FORM feature</x:v>
      </x:c>
      <x:c r="T10" s="13" t="str">
        <x:v>Correct earlier wording: manopla is a handstone; hacha is the closer axe-form comparator.</x:v>
      </x:c>
    </x:row>
    <x:row r="11">
      <x:c r="A11" s="13" t="str">
        <x:v>MAY-003</x:v>
      </x:c>
      <x:c r="B11" s="13" t="str">
        <x:v>Pillar 1 — Maya × Minoan</x:v>
      </x:c>
      <x:c r="C11" s="13" t="str">
        <x:v>Maya</x:v>
      </x:c>
      <x:c r="D11" s="13" t="str">
        <x:v>Mesoamerica</x:v>
      </x:c>
      <x:c r="E11" s="13" t="str">
        <x:v>Maya numeral and calendar notation</x:v>
      </x:c>
      <x:c r="F11" s="13" t="str">
        <x:v>Pre-Columbian; living knowledge context</x:v>
      </x:c>
      <x:c r="G11" s="13" t="str">
        <x:v>Numeral / calendrical system</x:v>
      </x:c>
      <x:c r="H11" s="13" t="str">
        <x:v>Dot–bar–shell; nested cycles</x:v>
      </x:c>
      <x:c r="I11" s="13" t="str">
        <x:v>Digit-level additivity plus positional / mixed-radix calendar notation</x:v>
      </x:c>
      <x:c r="J11" s="13" t="str">
        <x:v>dot=1; bar=5; shell=0; Tzolk'in 13×20; Haab 18×20+5</x:v>
      </x:c>
      <x:c r="K11" s="13" t="str">
        <x:v>Mathematics, history, ritual and calendar keeping</x:v>
      </x:c>
      <x:c r="L11" s="13" t="str">
        <x:v>Tzolk'in 260; Haab 365; Calendar Round 18,980; Long Count</x:v>
      </x:c>
      <x:c r="M11" s="13" t="str">
        <x:v>Canonical numerical/calendar reference for cross-cultural comparison</x:v>
      </x:c>
      <x:c r="N11" s="13" t="str">
        <x:v>Smithsonian educational / cultural source</x:v>
      </x:c>
      <x:c r="O11" s="13" t="str">
        <x:v>Established system description</x:v>
      </x:c>
      <x:c r="P11" s="16" t="n">
        <x:v>0.98</x:v>
      </x:c>
      <x:c r="Q11" s="13" t="str">
        <x:v>No claim</x:v>
      </x:c>
      <x:c r="R11" s="13" t="str">
        <x:v>https://maya.nmai.si.edu/calendar/calendar-system</x:v>
      </x:c>
      <x:c r="S11" s="13" t="str">
        <x:v>Existing: aureon/decoders/maya_decoder.py</x:v>
      </x:c>
      <x:c r="T11" s="13" t="str">
        <x:v>Critical correction: Maya digits are additive, but full higher notation is positional/mixed-radix.</x:v>
      </x:c>
    </x:row>
    <x:row r="12">
      <x:c r="A12" s="13" t="str">
        <x:v>MES-001</x:v>
      </x:c>
      <x:c r="B12" s="13" t="str">
        <x:v>Comparator — wider Mesoamerica</x:v>
      </x:c>
      <x:c r="C12" s="13" t="str">
        <x:v>Nahua / Aztec iconographic corpus</x:v>
      </x:c>
      <x:c r="D12" s="13" t="str">
        <x:v>Central Mexico</x:v>
      </x:c>
      <x:c r="E12" s="13" t="str">
        <x:v>Xicalcoliuhqui stepped-fret motif</x:v>
      </x:c>
      <x:c r="F12" s="13" t="str">
        <x:v>16th c. manuscript evidence; motif older</x:v>
      </x:c>
      <x:c r="G12" s="13" t="str">
        <x:v>Codex/iconographic motif</x:v>
      </x:c>
      <x:c r="H12" s="13" t="str">
        <x:v>Rectilinear stepped spiral</x:v>
      </x:c>
      <x:c r="I12" s="13" t="str">
        <x:v>Spiral transformed into angular/stepped path</x:v>
      </x:c>
      <x:c r="J12" s="13" t="str">
        <x:v>Lexicon classifies it as rectangular spiral; spiraling/swirl/coiling; stepped</x:v>
      </x:c>
      <x:c r="K12" s="13" t="str">
        <x:v>Appears on shields, textiles and water imagery</x:v>
      </x:c>
      <x:c r="L12" s="13" t="str">
        <x:v>May encode motion/water in some contexts; not Maya-specific</x:v>
      </x:c>
      <x:c r="M12" s="13" t="str">
        <x:v>Comparator for curved↔stepped spiral transformation</x:v>
      </x:c>
      <x:c r="N12" s="13" t="str">
        <x:v>Scholarly digital lexicon / manuscript record</x:v>
      </x:c>
      <x:c r="O12" s="13" t="str">
        <x:v>Observed iconography</x:v>
      </x:c>
      <x:c r="P12" s="16" t="n">
        <x:v>0.94</x:v>
      </x:c>
      <x:c r="Q12" s="13" t="str">
        <x:v>Unproven</x:v>
      </x:c>
      <x:c r="R12" s="13" t="str">
        <x:v>https://aztecglyphs.wired-humanities.org/node/2015</x:v>
      </x:c>
      <x:c r="S12" s="13" t="str">
        <x:v>No dedicated HNC node; use as Mesoamerican comparator</x:v>
      </x:c>
      <x:c r="T12" s="13" t="str">
        <x:v>Do not call xicalcoliuhqui specifically Maya without object-level Maya evidence.</x:v>
      </x:c>
    </x:row>
    <x:row r="13">
      <x:c r="A13" s="13" t="str">
        <x:v>MIM-001</x:v>
      </x:c>
      <x:c r="B13" s="13" t="str">
        <x:v>Pillar 2 — Mogollon / Mimbres</x:v>
      </x:c>
      <x:c r="C13" s="13" t="str">
        <x:v>Mimbres</x:v>
      </x:c>
      <x:c r="D13" s="13" t="str">
        <x:v>New Mexico, USA</x:v>
      </x:c>
      <x:c r="E13" s="13" t="str">
        <x:v>Mimbres Bowl — Met 1978.412.123</x:v>
      </x:c>
      <x:c r="F13" s="13" t="str">
        <x:v>9th–12th century</x:v>
      </x:c>
      <x:c r="G13" s="13" t="str">
        <x:v>Ceramic, pigment</x:v>
      </x:c>
      <x:c r="H13" s="13" t="str">
        <x:v>Geometric + representational bowl field</x:v>
      </x:c>
      <x:c r="I13" s="13" t="str">
        <x:v>Circular enclosure; interior painted field; geometric patterning</x:v>
      </x:c>
      <x:c r="J13" s="13" t="str">
        <x:v>Museum notes Mimbres bowls often feature geometric patterns and paired figures</x:v>
      </x:c>
      <x:c r="K13" s="13" t="str">
        <x:v>Frequently found in subfloor burials; many pierced/killed</x:v>
      </x:c>
      <x:c r="L13" s="13" t="str">
        <x:v>No demonstrated calendar function on this object</x:v>
      </x:c>
      <x:c r="M13" s="13" t="str">
        <x:v>Field-geometry reference for radial/nested composition</x:v>
      </x:c>
      <x:c r="N13" s="13" t="str">
        <x:v>Museum primary object record</x:v>
      </x:c>
      <x:c r="O13" s="13" t="str">
        <x:v>Observed fact + contextual interpretation</x:v>
      </x:c>
      <x:c r="P13" s="16" t="n">
        <x:v>0.94</x:v>
      </x:c>
      <x:c r="Q13" s="13" t="str">
        <x:v>Unproven</x:v>
      </x:c>
      <x:c r="R13" s="13" t="str">
        <x:v>https://www.metmuseum.org/art/collection/search/310575</x:v>
      </x:c>
      <x:c r="S13" s="13" t="str">
        <x:v>Existing regional decoder: aureon/decoders/mogollon_decoder.py</x:v>
      </x:c>
      <x:c r="T13" s="13" t="str">
        <x:v>Use 'Mimbres' or 'Mogollon (Mimbres)' accurately; do not substitute Chaco for Mimbres.</x:v>
      </x:c>
    </x:row>
    <x:row r="14">
      <x:c r="A14" s="13" t="str">
        <x:v>MIM-002</x:v>
      </x:c>
      <x:c r="B14" s="13" t="str">
        <x:v>Pillar 2 — Mogollon / Mimbres</x:v>
      </x:c>
      <x:c r="C14" s="13" t="str">
        <x:v>Mimbres</x:v>
      </x:c>
      <x:c r="D14" s="13" t="str">
        <x:v>New Mexico, USA</x:v>
      </x:c>
      <x:c r="E14" s="13" t="str">
        <x:v>Mimbres Bowl — Met 1978.412.126</x:v>
      </x:c>
      <x:c r="F14" s="13" t="str">
        <x:v>8th–10th century</x:v>
      </x:c>
      <x:c r="G14" s="13" t="str">
        <x:v>Ceramic, pigment</x:v>
      </x:c>
      <x:c r="H14" s="13" t="str">
        <x:v>Geometric bowl composition</x:v>
      </x:c>
      <x:c r="I14" s="13" t="str">
        <x:v>Radial circular field; repeated interior geometry</x:v>
      </x:c>
      <x:c r="J14" s="13" t="str">
        <x:v>Authenticated Mimbres bowl in Met collection</x:v>
      </x:c>
      <x:c r="K14" s="13" t="str">
        <x:v>Ceramic vessel; exact function object-specific</x:v>
      </x:c>
      <x:c r="L14" s="13" t="str">
        <x:v>No demonstrated calendar function on this object</x:v>
      </x:c>
      <x:c r="M14" s="13" t="str">
        <x:v>Candidate for blind geometric feature extraction</x:v>
      </x:c>
      <x:c r="N14" s="13" t="str">
        <x:v>Museum primary object record</x:v>
      </x:c>
      <x:c r="O14" s="13" t="str">
        <x:v>Observed fact</x:v>
      </x:c>
      <x:c r="P14" s="16" t="n">
        <x:v>0.95</x:v>
      </x:c>
      <x:c r="Q14" s="13" t="str">
        <x:v>Unproven</x:v>
      </x:c>
      <x:c r="R14" s="13" t="str">
        <x:v>https://www.metmuseum.org/art/collection/search/310578</x:v>
      </x:c>
      <x:c r="S14" s="13" t="str">
        <x:v>Existing regional decoder: aureon/decoders/mogollon_decoder.py</x:v>
      </x:c>
      <x:c r="T14" s="13" t="str">
        <x:v>Image-level spiral/step classification should be measured from the object image, not assumed from culture label.</x:v>
      </x:c>
    </x:row>
    <x:row r="15">
      <x:c r="A15" s="13" t="str">
        <x:v>MIM-003</x:v>
      </x:c>
      <x:c r="B15" s="13" t="str">
        <x:v>Pillar 2 — Mogollon / Mimbres</x:v>
      </x:c>
      <x:c r="C15" s="13" t="str">
        <x:v>Mogollon (Mimbres)</x:v>
      </x:c>
      <x:c r="D15" s="13" t="str">
        <x:v>New Mexico, USA</x:v>
      </x:c>
      <x:c r="E15" s="13" t="str">
        <x:v>Bowl, Figure and Fish Staff — Met 2018.689</x:v>
      </x:c>
      <x:c r="F15" s="13" t="str">
        <x:v>950–1150 CE</x:v>
      </x:c>
      <x:c r="G15" s="13" t="str">
        <x:v>Ceramic, pigment</x:v>
      </x:c>
      <x:c r="H15" s="13" t="str">
        <x:v>Symbolic + geometric painted field</x:v>
      </x:c>
      <x:c r="I15" s="13" t="str">
        <x:v>Nearly hemispheric interior; representational and geometric design</x:v>
      </x:c>
      <x:c r="J15" s="13" t="str">
        <x:v>Museum describes Mimbres painters as producing both representational and geometric images</x:v>
      </x:c>
      <x:c r="K15" s="13" t="str">
        <x:v>Ritually 'killed' in funerary context per museum</x:v>
      </x:c>
      <x:c r="L15" s="13" t="str">
        <x:v>No direct calendar function established</x:v>
      </x:c>
      <x:c r="M15" s="13" t="str">
        <x:v>Control specimen: distinguishes narrative symbolism from geometric cycle hypotheses</x:v>
      </x:c>
      <x:c r="N15" s="13" t="str">
        <x:v>Museum primary object record</x:v>
      </x:c>
      <x:c r="O15" s="13" t="str">
        <x:v>Observed fact + contextual interpretation</x:v>
      </x:c>
      <x:c r="P15" s="16" t="n">
        <x:v>0.94</x:v>
      </x:c>
      <x:c r="Q15" s="13" t="str">
        <x:v>Unproven</x:v>
      </x:c>
      <x:c r="R15" s="13" t="str">
        <x:v>https://www.metmuseum.org/art/collection/search/775558</x:v>
      </x:c>
      <x:c r="S15" s="13" t="str">
        <x:v>Existing regional decoder: aureon/decoders/mogollon_decoder.py</x:v>
      </x:c>
      <x:c r="T15" s="13" t="str">
        <x:v>Useful negative/control object so the corpus does not cherry-pick spirals only.</x:v>
      </x:c>
    </x:row>
    <x:row r="16">
      <x:c r="A16" s="13" t="str">
        <x:v>ANP-001</x:v>
      </x:c>
      <x:c r="B16" s="13" t="str">
        <x:v>Pillar 2 — observational anchor</x:v>
      </x:c>
      <x:c r="C16" s="13" t="str">
        <x:v>Ancestral Puebloan / Chacoan</x:v>
      </x:c>
      <x:c r="D16" s="13" t="str">
        <x:v>Fajada Butte, Chaco Canyon, New Mexico</x:v>
      </x:c>
      <x:c r="E16" s="13" t="str">
        <x:v>Sun Dagger spiral light marker</x:v>
      </x:c>
      <x:c r="F16" s="13" t="str">
        <x:v>Ancestral Puebloan period</x:v>
      </x:c>
      <x:c r="G16" s="13" t="str">
        <x:v>Petroglyph + sunlight/slab interaction</x:v>
      </x:c>
      <x:c r="H16" s="13" t="str">
        <x:v>Spiral + moving light/shadow</x:v>
      </x:c>
      <x:c r="I16" s="13" t="str">
        <x:v>Spiral physically intersected by seasonal light pattern</x:v>
      </x:c>
      <x:c r="J16" s="13" t="str">
        <x:v>NPS: believed to mark summer/winter solstices and equinoxes; slabs later shifted</x:v>
      </x:c>
      <x:c r="K16" s="13" t="str">
        <x:v>Archaeoastronomical marker</x:v>
      </x:c>
      <x:c r="L16" s="13" t="str">
        <x:v>Direct observational relation to seasonal solar positions</x:v>
      </x:c>
      <x:c r="M16" s="13" t="str">
        <x:v>Physical observation anchor for CYCLE→SKY→RETURN channel</x:v>
      </x:c>
      <x:c r="N16" s="13" t="str">
        <x:v>U.S. National Park Service</x:v>
      </x:c>
      <x:c r="O16" s="13" t="str">
        <x:v>Observed monument + archaeological interpretation</x:v>
      </x:c>
      <x:c r="P16" s="16" t="n">
        <x:v>0.9</x:v>
      </x:c>
      <x:c r="Q16" s="13" t="str">
        <x:v>No transmission claim</x:v>
      </x:c>
      <x:c r="R16" s="13" t="str">
        <x:v>https://home.nps.gov/articles/000/archeoastronomy-in-stone.htm</x:v>
      </x:c>
      <x:c r="S16" s="13" t="str">
        <x:v>Existing: aureon/decoders/mogollon_decoder.py (classification needs correction)</x:v>
      </x:c>
      <x:c r="T16" s="13" t="str">
        <x:v>Chaco is Ancestral Puebloan, not simply 'Mogollon'. Preserve culture identity under a wider Southwest comparison.</x:v>
      </x:c>
    </x:row>
    <x:row r="17">
      <x:c r="A17" s="13" t="str">
        <x:v>ANP-002</x:v>
      </x:c>
      <x:c r="B17" s="13" t="str">
        <x:v>Pillar 2 — observational anchor</x:v>
      </x:c>
      <x:c r="C17" s="13" t="str">
        <x:v>Ancestral Puebloan</x:v>
      </x:c>
      <x:c r="D17" s="13" t="str">
        <x:v>Puerco Pueblo, Arizona</x:v>
      </x:c>
      <x:c r="E17" s="13" t="str">
        <x:v>Solstice spiral petroglyph</x:v>
      </x:c>
      <x:c r="F17" s="13" t="str">
        <x:v>Ancestral Puebloan period</x:v>
      </x:c>
      <x:c r="G17" s="13" t="str">
        <x:v>Petroglyph + sunlight interaction</x:v>
      </x:c>
      <x:c r="H17" s="13" t="str">
        <x:v>Spiral solar marker</x:v>
      </x:c>
      <x:c r="I17" s="13" t="str">
        <x:v>Sunlight shaft moves to touch spiral centre at summer solstice</x:v>
      </x:c>
      <x:c r="J17" s="13" t="str">
        <x:v>NPS documents solstice interaction</x:v>
      </x:c>
      <x:c r="K17" s="13" t="str">
        <x:v>Seasonal solar observation</x:v>
      </x:c>
      <x:c r="L17" s="13" t="str">
        <x:v>Direct summer-solstice relationship</x:v>
      </x:c>
      <x:c r="M17" s="13" t="str">
        <x:v>Independent observational comparator to Chaco</x:v>
      </x:c>
      <x:c r="N17" s="13" t="str">
        <x:v>U.S. National Park Service</x:v>
      </x:c>
      <x:c r="O17" s="13" t="str">
        <x:v>Observed monument + archaeological interpretation</x:v>
      </x:c>
      <x:c r="P17" s="16" t="n">
        <x:v>0.91</x:v>
      </x:c>
      <x:c r="Q17" s="13" t="str">
        <x:v>No transmission claim</x:v>
      </x:c>
      <x:c r="R17" s="13" t="str">
        <x:v>https://home.nps.gov/articles/000/archeoastronomy-in-stone.htm</x:v>
      </x:c>
      <x:c r="S17" s="13" t="str">
        <x:v>Proposed Southwest observational sub-channel</x:v>
      </x:c>
      <x:c r="T17" s="13" t="str">
        <x:v>Keeps observation evidence separate from Mimbres painted ceramics.</x:v>
      </x:c>
    </x:row>
    <x:row r="18">
      <x:c r="A18" s="13" t="str">
        <x:v>NUM-001</x:v>
      </x:c>
      <x:c r="B18" s="13" t="str">
        <x:v>Pillar 1 — Maya × Minoan</x:v>
      </x:c>
      <x:c r="C18" s="13" t="str">
        <x:v>Minoan / Linear A</x:v>
      </x:c>
      <x:c r="D18" s="13" t="str">
        <x:v>Crete</x:v>
      </x:c>
      <x:c r="E18" s="13" t="str">
        <x:v>Linear A numerical notation</x:v>
      </x:c>
      <x:c r="F18" s="13" t="str">
        <x:v>2nd millennium BCE</x:v>
      </x:c>
      <x:c r="G18" s="13" t="str">
        <x:v>Administrative numerical notation</x:v>
      </x:c>
      <x:c r="H18" s="13" t="str">
        <x:v>Stroke accumulation / magnitude signs</x:v>
      </x:c>
      <x:c r="I18" s="13" t="str">
        <x:v>Decimal cumulative-additive system</x:v>
      </x:c>
      <x:c r="J18" s="13" t="str">
        <x:v>Units=vertical strokes; tens=horizontal strokes or dots; hundreds=circles; thousands=circles with strokes</x:v>
      </x:c>
      <x:c r="K18" s="13" t="str">
        <x:v>Accounting / administrative notation</x:v>
      </x:c>
      <x:c r="L18" s="13" t="str">
        <x:v>No calendar function implied by notation alone</x:v>
      </x:c>
      <x:c r="M18" s="13" t="str">
        <x:v>Numeral morphology comparator to Maya dot/bar system</x:v>
      </x:c>
      <x:c r="N18" s="13" t="str">
        <x:v>Peer-reviewed archaeology / computational study</x:v>
      </x:c>
      <x:c r="O18" s="13" t="str">
        <x:v>Established numerical description</x:v>
      </x:c>
      <x:c r="P18" s="16" t="n">
        <x:v>0.97</x:v>
      </x:c>
      <x:c r="Q18" s="13" t="str">
        <x:v>No transmission claim</x:v>
      </x:c>
      <x:c r="R18" s="13" t="str">
        <x:v>https://doi.org/10.1016/j.jas.2020.105214</x:v>
      </x:c>
      <x:c r="S18" s="13" t="str">
        <x:v>Proposed Minoan NUMERAL channel</x:v>
      </x:c>
      <x:c r="T18" s="13" t="str">
        <x:v>Key result: similar mark-making grammar does not mean same base or same sign values.</x:v>
      </x:c>
    </x:row>
    <x:row r="19">
      <x:c r="A19" s="13" t="str">
        <x:v>CAL-001</x:v>
      </x:c>
      <x:c r="B19" s="13" t="str">
        <x:v>Pillar 1 — Maya × Minoan</x:v>
      </x:c>
      <x:c r="C19" s="13" t="str">
        <x:v>Minoan</x:v>
      </x:c>
      <x:c r="D19" s="13" t="str">
        <x:v>Crete</x:v>
      </x:c>
      <x:c r="E19" s="13" t="str">
        <x:v>Minoan octaeteris / 99 lunar month calendrical hypothesis</x:v>
      </x:c>
      <x:c r="F19" s="13" t="str">
        <x:v>Bronze Age interpretation</x:v>
      </x:c>
      <x:c r="G19" s="13" t="str">
        <x:v>Archaeoastronomical hypothesis</x:v>
      </x:c>
      <x:c r="H19" s="13" t="str">
        <x:v>Nested cycle / octaeteris</x:v>
      </x:c>
      <x:c r="I19" s="13" t="str">
        <x:v>8-year / 99-lunar-month candidate cycle</x:v>
      </x:c>
      <x:c r="J19" s="13" t="str">
        <x:v>Published hypothesis links a Late Minoan clay disk and palace orientations to celestial cycles</x:v>
      </x:c>
      <x:c r="K19" s="13" t="str">
        <x:v>Festival/calendar interpretation proposed in research</x:v>
      </x:c>
      <x:c r="L19" s="13" t="str">
        <x:v>Lunar octaeteris; possible solar/lunar/Venus relationships</x:v>
      </x:c>
      <x:c r="M19" s="13" t="str">
        <x:v>Candidate calendar model; must stay flagged as hypothesis</x:v>
      </x:c>
      <x:c r="N19" s="13" t="str">
        <x:v>Scholarly research paper</x:v>
      </x:c>
      <x:c r="O19" s="13" t="str">
        <x:v>Scholarly hypothesis; contested/needs independent corroboration</x:v>
      </x:c>
      <x:c r="P19" s="16" t="n">
        <x:v>0.58</x:v>
      </x:c>
      <x:c r="Q19" s="13" t="str">
        <x:v>Unproven</x:v>
      </x:c>
      <x:c r="R19" s="13" t="str">
        <x:v>https://arxiv.org/abs/0910.4801</x:v>
      </x:c>
      <x:c r="S19" s="13" t="str">
        <x:v>Proposed Minoan CALENDAR channel</x:v>
      </x:c>
      <x:c r="T19" s="13" t="str">
        <x:v>Do not elevate to established fact. Keep competing interpretations and object-specific provenance.</x:v>
      </x:c>
    </x:row>
    <x:row r="20">
      <x:c r="A20" s="13" t="str">
        <x:v>CAL-002</x:v>
      </x:c>
      <x:c r="B20" s="13" t="str">
        <x:v>Pillar 1 — Maya × Minoan</x:v>
      </x:c>
      <x:c r="C20" s="13" t="str">
        <x:v>Maya</x:v>
      </x:c>
      <x:c r="D20" s="13" t="str">
        <x:v>Mesoamerica</x:v>
      </x:c>
      <x:c r="E20" s="13" t="str">
        <x:v>Tzolk'in–Haab–Calendar Round structure</x:v>
      </x:c>
      <x:c r="F20" s="13" t="str">
        <x:v>Pre-Columbian / continuing traditions</x:v>
      </x:c>
      <x:c r="G20" s="13" t="str">
        <x:v>Calendrical system</x:v>
      </x:c>
      <x:c r="H20" s="13" t="str">
        <x:v>Nested/coupled recurrence</x:v>
      </x:c>
      <x:c r="I20" s="13" t="str">
        <x:v>13×20=260; 18×20+5=365; 52 Haab years = 18,980 days</x:v>
      </x:c>
      <x:c r="J20" s="13" t="str">
        <x:v>Two repeating calendar counts interlock; Long Count records larger chronology</x:v>
      </x:c>
      <x:c r="K20" s="13" t="str">
        <x:v>Practical and ceremonial calendar keeping</x:v>
      </x:c>
      <x:c r="L20" s="13" t="str">
        <x:v>Sun, Moon, Venus and agricultural cycles are part of Maya timekeeping corpus</x:v>
      </x:c>
      <x:c r="M20" s="13" t="str">
        <x:v>Reference recurrence model for HNC phase comparison</x:v>
      </x:c>
      <x:c r="N20" s="13" t="str">
        <x:v>Smithsonian National Museum of the American Indian</x:v>
      </x:c>
      <x:c r="O20" s="13" t="str">
        <x:v>Established system description</x:v>
      </x:c>
      <x:c r="P20" s="16" t="n">
        <x:v>0.98</x:v>
      </x:c>
      <x:c r="Q20" s="13" t="str">
        <x:v>No transmission claim</x:v>
      </x:c>
      <x:c r="R20" s="13" t="str">
        <x:v>https://maya.nmai.si.edu/calendar/calendar-system</x:v>
      </x:c>
      <x:c r="S20" s="13" t="str">
        <x:v>Existing: aureon/decoders/maya_decoder.py</x:v>
      </x:c>
      <x:c r="T20" s="13" t="str">
        <x:v>Use native arithmetic first; HNC mapping second.</x:v>
      </x:c>
    </x:row>
  </x:sheetData>
  <x:conditionalFormatting sqref="P2:P20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65ed514225448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36" hidden="0" customWidth="1"/>
    <x:col min="4" max="4" width="17" hidden="0" customWidth="1"/>
    <x:col min="5" max="5" width="36" hidden="0" customWidth="1"/>
    <x:col min="6" max="6" width="21" hidden="0" customWidth="1"/>
    <x:col min="7" max="7" width="36" hidden="0" customWidth="1"/>
    <x:col min="8" max="8" width="44" hidden="0" customWidth="1"/>
    <x:col min="9" max="9" width="36" hidden="0" customWidth="1"/>
    <x:col min="10" max="10" width="34" hidden="0" customWidth="1"/>
  </x:cols>
  <x:sheetData>
    <x:row r="1">
      <x:c r="A1" s="20" t="str">
        <x:v>Aureon Visual-Grammar Comparison Matrix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>
      <x:c r="A3" s="6" t="str">
        <x:v>Motif / Operation</x:v>
      </x:c>
      <x:c r="B3" s="6" t="str">
        <x:v>Minoan Strength (0–3)</x:v>
      </x:c>
      <x:c r="C3" s="6" t="str">
        <x:v>Minoan Anchor</x:v>
      </x:c>
      <x:c r="D3" s="6" t="str">
        <x:v>Maya Strength (0–3)</x:v>
      </x:c>
      <x:c r="E3" s="6" t="str">
        <x:v>Maya Anchor</x:v>
      </x:c>
      <x:c r="F3" s="6" t="str">
        <x:v>Mimbres / SW Strength (0–3)</x:v>
      </x:c>
      <x:c r="G3" s="6" t="str">
        <x:v>Mimbres / SW Anchor</x:v>
      </x:c>
      <x:c r="H3" s="6" t="str">
        <x:v>Cross-Cultural Reading</x:v>
      </x:c>
      <x:c r="I3" s="6" t="str">
        <x:v>Evidence Risk</x:v>
      </x:c>
      <x:c r="J3" s="6" t="str">
        <x:v>Next Measurement</x:v>
      </x:c>
    </x:row>
    <x:row r="4">
      <x:c r="A4" s="13" t="str">
        <x:v>Continuous spiral / coil</x:v>
      </x:c>
      <x:c r="B4" s="13" t="n">
        <x:v>3</x:v>
      </x:c>
      <x:c r="C4" s="13" t="str">
        <x:v>Akrotiri spirals; Marine Style; spiral Linear A ring</x:v>
      </x:c>
      <x:c r="D4" s="13" t="n">
        <x:v>2</x:v>
      </x:c>
      <x:c r="E4" s="13" t="str">
        <x:v>Maya vessel scrolls/volutes</x:v>
      </x:c>
      <x:c r="F4" s="13" t="n">
        <x:v>3</x:v>
      </x:c>
      <x:c r="G4" s="13" t="str">
        <x:v>Mimbres painted spiral/geometric bowls; SW petroglyph spirals</x:v>
      </x:c>
      <x:c r="H4" s="13" t="str">
        <x:v>Strong morphological comparison: rotation + expansion + return</x:v>
      </x:c>
      <x:c r="I4" s="13" t="str">
        <x:v>Meaning may differ across contexts</x:v>
      </x:c>
      <x:c r="J4" s="13" t="str">
        <x:v>turn count; pitch; chirality; curvature residual</x:v>
      </x:c>
    </x:row>
    <x:row r="5">
      <x:c r="A5" s="13" t="str">
        <x:v>Rectilinear / stepped spiral</x:v>
      </x:c>
      <x:c r="B5" s="13" t="n">
        <x:v>1</x:v>
      </x:c>
      <x:c r="C5" s="13" t="str">
        <x:v>Secondary geometric motif; not core Minoan spiral evidence</x:v>
      </x:c>
      <x:c r="D5" s="13" t="n">
        <x:v>2</x:v>
      </x:c>
      <x:c r="E5" s="13" t="str">
        <x:v>Use Maya-specific examples where authenticated; wider Mesoamerican xicalcoliuhqui is strong</x:v>
      </x:c>
      <x:c r="F5" s="13" t="n">
        <x:v>3</x:v>
      </x:c>
      <x:c r="G5" s="13" t="str">
        <x:v>Mimbres angular/stepped geometric fields</x:v>
      </x:c>
      <x:c r="H5" s="13" t="str">
        <x:v>Tests curved↔rectilinear transformation of the spiral grammar</x:v>
      </x:c>
      <x:c r="I5" s="13" t="str">
        <x:v>Do not treat Nahua term as Maya</x:v>
      </x:c>
      <x:c r="J5" s="13" t="str">
        <x:v>corner count; step length; winding number</x:v>
      </x:c>
    </x:row>
    <x:row r="6">
      <x:c r="A6" s="13" t="str">
        <x:v>Dot / point sequences</x:v>
      </x:c>
      <x:c r="B6" s="13" t="n">
        <x:v>3</x:v>
      </x:c>
      <x:c r="C6" s="13" t="str">
        <x:v>Akrotiri dot-marking; Phaistos 5-dot start marker</x:v>
      </x:c>
      <x:c r="D6" s="13" t="n">
        <x:v>2</x:v>
      </x:c>
      <x:c r="E6" s="13" t="str">
        <x:v>Maya numeral dots; point/scroll combinations</x:v>
      </x:c>
      <x:c r="F6" s="13" t="n">
        <x:v>1</x:v>
      </x:c>
      <x:c r="G6" s="13" t="str">
        <x:v>Some SW petroglyph/bowl point elements</x:v>
      </x:c>
      <x:c r="H6" s="13" t="str">
        <x:v>Point as unit or directional marker is comparable at morphology level</x:v>
      </x:c>
      <x:c r="I6" s="13" t="str">
        <x:v>Values/functions differ</x:v>
      </x:c>
      <x:c r="J6" s="13" t="str">
        <x:v>count; spacing; relation to turns/groups</x:v>
      </x:c>
    </x:row>
    <x:row r="7">
      <x:c r="A7" s="13" t="str">
        <x:v>Additive mark construction</x:v>
      </x:c>
      <x:c r="B7" s="13" t="n">
        <x:v>3</x:v>
      </x:c>
      <x:c r="C7" s="13" t="str">
        <x:v>Linear A cumulative-additive notation</x:v>
      </x:c>
      <x:c r="D7" s="13" t="n">
        <x:v>3</x:v>
      </x:c>
      <x:c r="E7" s="13" t="str">
        <x:v>Maya digit construction is additive (dot=1, bar=5)</x:v>
      </x:c>
      <x:c r="F7" s="13" t="n">
        <x:v>0</x:v>
      </x:c>
      <x:c r="G7" s="13" t="str">
        <x:v>No numerical reading established for Mimbres art</x:v>
      </x:c>
      <x:c r="H7" s="13" t="str">
        <x:v>Strong grammar-level comparison: unit→bundle→sum</x:v>
      </x:c>
      <x:c r="I7" s="13" t="str">
        <x:v>Full Maya system is positional/mixed-radix</x:v>
      </x:c>
      <x:c r="J7" s="13" t="str">
        <x:v>formal encoding of mark value and place value</x:v>
      </x:c>
    </x:row>
    <x:row r="8">
      <x:c r="A8" s="13" t="str">
        <x:v>Nesting / enclosure</x:v>
      </x:c>
      <x:c r="B8" s="13" t="n">
        <x:v>2</x:v>
      </x:c>
      <x:c r="C8" s="13" t="str">
        <x:v>Phaistos spiral groups; sacred-space imagery</x:v>
      </x:c>
      <x:c r="D8" s="13" t="n">
        <x:v>3</x:v>
      </x:c>
      <x:c r="E8" s="13" t="str">
        <x:v>Glyph blocks, scrolls, framed scenes</x:v>
      </x:c>
      <x:c r="F8" s="13" t="n">
        <x:v>3</x:v>
      </x:c>
      <x:c r="G8" s="13" t="str">
        <x:v>Circular bowl boundary + nested interior fields</x:v>
      </x:c>
      <x:c r="H8" s="13" t="str">
        <x:v>Shared operation of information inside bounded sub-fields</x:v>
      </x:c>
      <x:c r="I8" s="13" t="str">
        <x:v>Common human design solution is a null hypothesis</x:v>
      </x:c>
      <x:c r="J8" s="13" t="str">
        <x:v>nesting depth; enclosure ratio</x:v>
      </x:c>
    </x:row>
    <x:row r="9">
      <x:c r="A9" s="13" t="str">
        <x:v>Dense field occupation</x:v>
      </x:c>
      <x:c r="B9" s="13" t="n">
        <x:v>3</x:v>
      </x:c>
      <x:c r="C9" s="13" t="str">
        <x:v>Marine Style whole-surface motion</x:v>
      </x:c>
      <x:c r="D9" s="13" t="n">
        <x:v>3</x:v>
      </x:c>
      <x:c r="E9" s="13" t="str">
        <x:v>Layered Maya vessel imagery and scrollwork</x:v>
      </x:c>
      <x:c r="F9" s="13" t="n">
        <x:v>3</x:v>
      </x:c>
      <x:c r="G9" s="13" t="str">
        <x:v>Painted bowl interiors</x:v>
      </x:c>
      <x:c r="H9" s="13" t="str">
        <x:v>Surface behaves as an active information field</x:v>
      </x:c>
      <x:c r="I9" s="13" t="str">
        <x:v>Subjective unless quantified</x:v>
      </x:c>
      <x:c r="J9" s="13" t="str">
        <x:v>occupied-area fraction; edge density</x:v>
      </x:c>
    </x:row>
    <x:row r="10">
      <x:c r="A10" s="13" t="str">
        <x:v>Ritual axe form</x:v>
      </x:c>
      <x:c r="B10" s="13" t="n">
        <x:v>3</x:v>
      </x:c>
      <x:c r="C10" s="13" t="str">
        <x:v>Labrys / votive double axe</x:v>
      </x:c>
      <x:c r="D10" s="13" t="n">
        <x:v>2</x:v>
      </x:c>
      <x:c r="E10" s="13" t="str">
        <x:v>Hacha as ceremonial ballgame object</x:v>
      </x:c>
      <x:c r="F10" s="13" t="n">
        <x:v>0</x:v>
      </x:c>
      <x:c r="G10" s="13" t="str">
        <x:v>No core comparator in current SW corpus</x:v>
      </x:c>
      <x:c r="H10" s="13" t="str">
        <x:v>Moderate ritual-form analogy; silhouettes/functions differ</x:v>
      </x:c>
      <x:c r="I10" s="13" t="str">
        <x:v>High risk of over-equivalence</x:v>
      </x:c>
      <x:c r="J10" s="13" t="str">
        <x:v>shape descriptors; use-context coding</x:v>
      </x:c>
    </x:row>
    <x:row r="11">
      <x:c r="A11" s="13" t="str">
        <x:v>Paired horns / bifurcation</x:v>
      </x:c>
      <x:c r="B11" s="13" t="n">
        <x:v>3</x:v>
      </x:c>
      <x:c r="C11" s="13" t="str">
        <x:v>Horns of consecration</x:v>
      </x:c>
      <x:c r="D11" s="13" t="n">
        <x:v>1</x:v>
      </x:c>
      <x:c r="E11" s="13" t="str">
        <x:v>Tentative paired framing analogies only</x:v>
      </x:c>
      <x:c r="F11" s="13" t="n">
        <x:v>0</x:v>
      </x:c>
      <x:c r="G11" s="13" t="str">
        <x:v>No core comparator</x:v>
      </x:c>
      <x:c r="H11" s="13" t="str">
        <x:v>Minoan side established; Maya equivalence currently weak</x:v>
      </x:c>
      <x:c r="I11" s="13" t="str">
        <x:v>Weak cross-cultural evidence</x:v>
      </x:c>
      <x:c r="J11" s="13" t="str">
        <x:v>Build authenticated Maya motif class before scoring</x:v>
      </x:c>
    </x:row>
    <x:row r="12">
      <x:c r="A12" s="13" t="str">
        <x:v>Radial / circular field</x:v>
      </x:c>
      <x:c r="B12" s="13" t="n">
        <x:v>3</x:v>
      </x:c>
      <x:c r="C12" s="13" t="str">
        <x:v>Phaistos Disc; spiral ring</x:v>
      </x:c>
      <x:c r="D12" s="13" t="n">
        <x:v>2</x:v>
      </x:c>
      <x:c r="E12" s="13" t="str">
        <x:v>Calendar/glyph blocks are cyclic; object-specific radial art still needed</x:v>
      </x:c>
      <x:c r="F12" s="13" t="n">
        <x:v>3</x:v>
      </x:c>
      <x:c r="G12" s="13" t="str">
        <x:v>Mimbres bowls + spiral petroglyphs</x:v>
      </x:c>
      <x:c r="H12" s="13" t="str">
        <x:v>Circular boundary can host recurrent/nested information</x:v>
      </x:c>
      <x:c r="I12" s="13" t="str">
        <x:v>Circle is globally common</x:v>
      </x:c>
      <x:c r="J12" s="13" t="str">
        <x:v>radial sectors; symmetry order; centre offset</x:v>
      </x:c>
    </x:row>
    <x:row r="13">
      <x:c r="A13" s="13" t="str">
        <x:v>Light–shadow astronomical interaction</x:v>
      </x:c>
      <x:c r="B13" s="13" t="n">
        <x:v>0</x:v>
      </x:c>
      <x:c r="C13" s="13" t="str">
        <x:v>Not represented by current core art rows</x:v>
      </x:c>
      <x:c r="D13" s="13" t="n">
        <x:v>1</x:v>
      </x:c>
      <x:c r="E13" s="13" t="str">
        <x:v>Maya archaeoastronomy exists but not yet object-linked in this ledger</x:v>
      </x:c>
      <x:c r="F13" s="13" t="n">
        <x:v>3</x:v>
      </x:c>
      <x:c r="G13" s="13" t="str">
        <x:v>Fajada Butte and Puerco Pueblo solar spiral markers</x:v>
      </x:c>
      <x:c r="H13" s="13" t="str">
        <x:v>Strong Pillar 2 observational operation</x:v>
      </x:c>
      <x:c r="I13" s="13" t="str">
        <x:v>Must avoid back-projecting into all spiral art</x:v>
      </x:c>
      <x:c r="J13" s="13" t="str">
        <x:v>sun-angle reconstruction; seasonal repeatability</x:v>
      </x:c>
    </x:row>
  </x:sheetData>
  <x:mergeCells>
    <x:mergeCell ref="A1:J1"/>
  </x:mergeCells>
  <x:conditionalFormatting sqref="B4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{B1B503CA-419D-BE30-F68D-263C2493CD42}</x14:id>
        </x:ext>
      </x:extLst>
    </x:cfRule>
  </x:conditionalFormatting>
  <x:conditionalFormatting sqref="D4:D13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{F1D55FD3-8450-64AD-8A7E-23B7B751DE5C}</x14:id>
        </x:ext>
      </x:extLst>
    </x:cfRule>
  </x:conditionalFormatting>
  <x:conditionalFormatting sqref="F4:F13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{E8728737-4EBD-E4EF-F824-9FF62D0B77C8}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e624140149f43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B503CA-419D-BE30-F68D-263C2493CD42}">
            <x14:dataBar gradient="1">
              <x14:cfvo type="min"/>
              <x14:cfvo type="max"/>
              <x14:fillColor rgb="FFA02B93"/>
            </x14:dataBar>
          </x14:cfRule>
          <xm:sqref>B4:B13</xm:sqref>
        </x14:conditionalFormatting>
        <x14:conditionalFormatting>
          <x14:cfRule type="dataBar" priority="2" id="{F1D55FD3-8450-64AD-8A7E-23B7B751DE5C}">
            <x14:dataBar gradient="1">
              <x14:cfvo type="min"/>
              <x14:cfvo type="max"/>
              <x14:fillColor rgb="FFA02B93"/>
            </x14:dataBar>
          </x14:cfRule>
          <xm:sqref>D4:D13</xm:sqref>
        </x14:conditionalFormatting>
        <x14:conditionalFormatting>
          <x14:cfRule type="dataBar" priority="3" id="{E8728737-4EBD-E4EF-F824-9FF62D0B77C8}">
            <x14:dataBar gradient="1">
              <x14:cfvo type="min"/>
              <x14:cfvo type="max"/>
              <x14:fillColor rgb="FFA02B93"/>
            </x14:dataBar>
          </x14:cfRule>
          <xm:sqref>F4:F13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17" hidden="0" customWidth="1"/>
    <x:col min="5" max="5" width="17" hidden="0" customWidth="1"/>
    <x:col min="6" max="6" width="22" hidden="0" customWidth="1"/>
    <x:col min="7" max="7" width="20" hidden="0" customWidth="1"/>
    <x:col min="8" max="8" width="36" hidden="0" customWidth="1"/>
    <x:col min="9" max="9" width="40" hidden="0" customWidth="1"/>
    <x:col min="10" max="10" width="48" hidden="0" customWidth="1"/>
  </x:cols>
  <x:sheetData>
    <x:row r="1">
      <x:c r="A1" s="20" t="str">
        <x:v>Native Arithmetic Before HNC Mapping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>
      <x:c r="A3" s="6" t="str">
        <x:v>System / Record</x:v>
      </x:c>
      <x:c r="B3" s="6" t="str">
        <x:v>Culture</x:v>
      </x:c>
      <x:c r="C3" s="6" t="str">
        <x:v>Native Structure</x:v>
      </x:c>
      <x:c r="D3" s="6" t="str">
        <x:v>Value / Formula A</x:v>
      </x:c>
      <x:c r="E3" s="6" t="str">
        <x:v>Value / Formula B</x:v>
      </x:c>
      <x:c r="F3" s="6" t="str">
        <x:v>Derived / Recurrence</x:v>
      </x:c>
      <x:c r="G3" s="6" t="str">
        <x:v>Evidence Status</x:v>
      </x:c>
      <x:c r="H3" s="6" t="str">
        <x:v>What Is Comparable</x:v>
      </x:c>
      <x:c r="I3" s="6" t="str">
        <x:v>What Is Not Comparable</x:v>
      </x:c>
      <x:c r="J3" s="6" t="str">
        <x:v>Source URL</x:v>
      </x:c>
    </x:row>
    <x:row r="4">
      <x:c r="A4" s="13" t="str">
        <x:v>Maya numeral digit</x:v>
      </x:c>
      <x:c r="B4" s="13" t="str">
        <x:v>Maya</x:v>
      </x:c>
      <x:c r="C4" s="13" t="str">
        <x:v>dot=1; bar=5; shell=0; additive within digit</x:v>
      </x:c>
      <x:c r="D4" s="13" t="n">
        <x:v>1</x:v>
      </x:c>
      <x:c r="E4" s="13" t="n">
        <x:v>5</x:v>
      </x:c>
      <x:c r="F4" s="24"/>
      <x:c r="G4" s="13" t="str">
        <x:v>Established</x:v>
      </x:c>
      <x:c r="H4" s="13" t="str">
        <x:v>unit/bundle/additive mark grammar</x:v>
      </x:c>
      <x:c r="I4" s="13" t="str">
        <x:v>Linear A sign values and radix</x:v>
      </x:c>
      <x:c r="J4" s="13" t="str">
        <x:v>https://maya.nmai.si.edu/maya-sun/maya-math-game</x:v>
      </x:c>
    </x:row>
    <x:row r="5">
      <x:c r="A5" s="13" t="str">
        <x:v>Linear A numeration</x:v>
      </x:c>
      <x:c r="B5" s="13" t="str">
        <x:v>Minoan / Linear A</x:v>
      </x:c>
      <x:c r="C5" s="13" t="str">
        <x:v>decimal cumulative-additive; distinct magnitude signs</x:v>
      </x:c>
      <x:c r="D5" s="13" t="n">
        <x:v>1</x:v>
      </x:c>
      <x:c r="E5" s="13" t="n">
        <x:v>10</x:v>
      </x:c>
      <x:c r="F5" s="24"/>
      <x:c r="G5" s="13" t="str">
        <x:v>Established</x:v>
      </x:c>
      <x:c r="H5" s="13" t="str">
        <x:v>stroke accumulation and bundling</x:v>
      </x:c>
      <x:c r="I5" s="13" t="str">
        <x:v>Maya base-20/positional structure</x:v>
      </x:c>
      <x:c r="J5" s="13" t="str">
        <x:v>https://doi.org/10.1016/j.jas.2020.105214</x:v>
      </x:c>
    </x:row>
    <x:row r="6">
      <x:c r="A6" s="13" t="str">
        <x:v>Tzolk'in</x:v>
      </x:c>
      <x:c r="B6" s="13" t="str">
        <x:v>Maya</x:v>
      </x:c>
      <x:c r="C6" s="13" t="str">
        <x:v>13 numbers × 20 day names</x:v>
      </x:c>
      <x:c r="D6" s="13" t="n">
        <x:v>13</x:v>
      </x:c>
      <x:c r="E6" s="13" t="n">
        <x:v>20</x:v>
      </x:c>
      <x:c r="F6" s="24" t="n">
        <x:f>D6*E6</x:f>
        <x:v>260</x:v>
      </x:c>
      <x:c r="G6" s="13" t="str">
        <x:v>Established</x:v>
      </x:c>
      <x:c r="H6" s="13" t="str">
        <x:v>coupled recurring counters</x:v>
      </x:c>
      <x:c r="I6" s="13" t="str">
        <x:v>Not evidence for Minoan 13×20</x:v>
      </x:c>
      <x:c r="J6" s="13" t="str">
        <x:v>https://maya.nmai.si.edu/calendar/calendar-system</x:v>
      </x:c>
    </x:row>
    <x:row r="7">
      <x:c r="A7" s="13" t="str">
        <x:v>Haab</x:v>
      </x:c>
      <x:c r="B7" s="13" t="str">
        <x:v>Maya</x:v>
      </x:c>
      <x:c r="C7" s="13" t="str">
        <x:v>18 × 20 + 5</x:v>
      </x:c>
      <x:c r="D7" s="13" t="n">
        <x:v>18</x:v>
      </x:c>
      <x:c r="E7" s="13" t="n">
        <x:v>20</x:v>
      </x:c>
      <x:c r="F7" s="24" t="n">
        <x:f>D7*E7+5</x:f>
        <x:v>365</x:v>
      </x:c>
      <x:c r="G7" s="13" t="str">
        <x:v>Established</x:v>
      </x:c>
      <x:c r="H7" s="13" t="str">
        <x:v>solar-year partition / remainder comparison</x:v>
      </x:c>
      <x:c r="I7" s="13" t="str">
        <x:v>Month structure differs from other systems</x:v>
      </x:c>
      <x:c r="J7" s="13" t="str">
        <x:v>https://maya.nmai.si.edu/calendar/calendar-system</x:v>
      </x:c>
    </x:row>
    <x:row r="8">
      <x:c r="A8" s="13" t="str">
        <x:v>Calendar Round</x:v>
      </x:c>
      <x:c r="B8" s="13" t="str">
        <x:v>Maya</x:v>
      </x:c>
      <x:c r="C8" s="13" t="str">
        <x:v>LCM of 260 and 365 days</x:v>
      </x:c>
      <x:c r="D8" s="13" t="n">
        <x:v>260</x:v>
      </x:c>
      <x:c r="E8" s="13" t="n">
        <x:v>365</x:v>
      </x:c>
      <x:c r="F8" s="24" t="n">
        <x:f>52*365</x:f>
        <x:v>18980</x:v>
      </x:c>
      <x:c r="G8" s="13" t="str">
        <x:v>Established</x:v>
      </x:c>
      <x:c r="H8" s="13" t="str">
        <x:v>recurrence / phase-locking operation</x:v>
      </x:c>
      <x:c r="I8" s="13" t="str">
        <x:v>Does not imply another culture used the same cycle</x:v>
      </x:c>
      <x:c r="J8" s="13" t="str">
        <x:v>https://maya.nmai.si.edu/calendar/calendar-system</x:v>
      </x:c>
    </x:row>
    <x:row r="9">
      <x:c r="A9" s="13" t="str">
        <x:v>Long Count</x:v>
      </x:c>
      <x:c r="B9" s="13" t="str">
        <x:v>Maya</x:v>
      </x:c>
      <x:c r="C9" s="13" t="str">
        <x:v>1,20,360,7200,144000-day units</x:v>
      </x:c>
      <x:c r="D9" s="13" t="n">
        <x:v>20</x:v>
      </x:c>
      <x:c r="E9" s="13" t="n">
        <x:v>18</x:v>
      </x:c>
      <x:c r="F9" s="24" t="n">
        <x:f>D9*E9</x:f>
        <x:v>360</x:v>
      </x:c>
      <x:c r="G9" s="13" t="str">
        <x:v>Established</x:v>
      </x:c>
      <x:c r="H9" s="13" t="str">
        <x:v>nested mixed-radix chronology</x:v>
      </x:c>
      <x:c r="I9" s="13" t="str">
        <x:v>Not a pure base-20 sequence because tun=18×20</x:v>
      </x:c>
      <x:c r="J9" s="13" t="str">
        <x:v>https://maya.nmai.si.edu/calendar/maya-calendar-converter</x:v>
      </x:c>
    </x:row>
    <x:row r="10">
      <x:c r="A10" s="13" t="str">
        <x:v>Phaistos Disc</x:v>
      </x:c>
      <x:c r="B10" s="13" t="str">
        <x:v>Minoan</x:v>
      </x:c>
      <x:c r="C10" s="13" t="str">
        <x:v>spiral inscription: 241 signs / 61 groups</x:v>
      </x:c>
      <x:c r="D10" s="13" t="n">
        <x:v>241</x:v>
      </x:c>
      <x:c r="E10" s="13" t="n">
        <x:v>61</x:v>
      </x:c>
      <x:c r="F10" s="24" t="n">
        <x:f>D10/E10</x:f>
        <x:v>3.9508196721311477</x:v>
      </x:c>
      <x:c r="G10" s="13" t="str">
        <x:v>Observed structure</x:v>
      </x:c>
      <x:c r="H10" s="13" t="str">
        <x:v>grouping + spiral ordering</x:v>
      </x:c>
      <x:c r="I10" s="13" t="str">
        <x:v>Calendar function not established</x:v>
      </x:c>
      <x:c r="J10" s="13" t="str">
        <x:v>https://www.heraklionmuseum.gr/en/exhibit/the-phaistos-disc/</x:v>
      </x:c>
    </x:row>
    <x:row r="11">
      <x:c r="A11" s="13" t="str">
        <x:v>Spiral Linear A ring</x:v>
      </x:c>
      <x:c r="B11" s="13" t="str">
        <x:v>Minoan</x:v>
      </x:c>
      <x:c r="C11" s="13" t="str">
        <x:v>text runs outer edge → centre</x:v>
      </x:c>
      <x:c r="D11" s="13" t="n">
        <x:v>1</x:v>
      </x:c>
      <x:c r="E11" s="13" t="n">
        <x:v>1</x:v>
      </x:c>
      <x:c r="F11" s="24"/>
      <x:c r="G11" s="13" t="str">
        <x:v>Observed structure</x:v>
      </x:c>
      <x:c r="H11" s="13" t="str">
        <x:v>spiral as information-layout rule</x:v>
      </x:c>
      <x:c r="I11" s="13" t="str">
        <x:v>No numeric/calendar value established</x:v>
      </x:c>
      <x:c r="J11" s="13" t="str">
        <x:v>https://www.heraklionmuseum.gr/en/exhibit/gold-ring-with-spiral-linear-a-inscription/</x:v>
      </x:c>
    </x:row>
    <x:row r="12">
      <x:c r="A12" s="13" t="str">
        <x:v>Octaeteris hypothesis</x:v>
      </x:c>
      <x:c r="B12" s="13" t="str">
        <x:v>Minoan</x:v>
      </x:c>
      <x:c r="C12" s="13" t="str">
        <x:v>8 years / 99 lunar months candidate</x:v>
      </x:c>
      <x:c r="D12" s="13" t="n">
        <x:v>8</x:v>
      </x:c>
      <x:c r="E12" s="13" t="n">
        <x:v>99</x:v>
      </x:c>
      <x:c r="F12" s="24" t="n">
        <x:f>E12</x:f>
        <x:v>99</x:v>
      </x:c>
      <x:c r="G12" s="13" t="str">
        <x:v>Hypothesis</x:v>
      </x:c>
      <x:c r="H12" s="13" t="str">
        <x:v>cycle-comparison framework</x:v>
      </x:c>
      <x:c r="I12" s="13" t="str">
        <x:v>Must not be treated as established Minoan calendar</x:v>
      </x:c>
      <x:c r="J12" s="13" t="str">
        <x:v>https://arxiv.org/abs/0910.4801</x:v>
      </x:c>
    </x:row>
    <x:row r="13">
      <x:c r="A13" s="13" t="str">
        <x:v>Sun Dagger</x:v>
      </x:c>
      <x:c r="B13" s="13" t="str">
        <x:v>Ancestral Puebloan / Chaco</x:v>
      </x:c>
      <x:c r="C13" s="13" t="str">
        <x:v>seasonal sunlight crosses spiral petroglyph</x:v>
      </x:c>
      <x:c r="D13" s="13" t="n">
        <x:v>1</x:v>
      </x:c>
      <x:c r="E13" s="13" t="n">
        <x:v>4</x:v>
      </x:c>
      <x:c r="F13" s="24" t="n">
        <x:f>E13</x:f>
        <x:v>4</x:v>
      </x:c>
      <x:c r="G13" s="13" t="str">
        <x:v>Archaeoastronomical interpretation</x:v>
      </x:c>
      <x:c r="H13" s="13" t="str">
        <x:v>cycle observed physically against sky</x:v>
      </x:c>
      <x:c r="I13" s="13" t="str">
        <x:v>Not evidence for Maya/Minoan transmission</x:v>
      </x:c>
      <x:c r="J13" s="13" t="str">
        <x:v>https://home.nps.gov/articles/000/archeoastronomy-in-stone.htm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b287a86fa2d48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46" hidden="0" customWidth="1"/>
    <x:col min="4" max="4" width="46" hidden="0" customWidth="1"/>
    <x:col min="5" max="5" width="42" hidden="0" customWidth="1"/>
    <x:col min="6" max="6" width="14" hidden="0" customWidth="1"/>
    <x:col min="7" max="7" width="12" hidden="0" customWidth="1"/>
    <x:col min="8" max="8" width="18" hidden="0" customWidth="1"/>
    <x:col min="9" max="9" width="44" hidden="0" customWidth="1"/>
    <x:col min="10" max="10" width="42" hidden="0" customWidth="1"/>
  </x:cols>
  <x:sheetData>
    <x:row r="1">
      <x:c r="A1" s="20" t="str">
        <x:v>Hypothesis Register — Claims Must Survive Falsification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>
      <x:c r="A3" s="6" t="str">
        <x:v>ID</x:v>
      </x:c>
      <x:c r="B3" s="6" t="str">
        <x:v>Hypothesis</x:v>
      </x:c>
      <x:c r="C3" s="6" t="str">
        <x:v>Evidence For</x:v>
      </x:c>
      <x:c r="D3" s="6" t="str">
        <x:v>Evidence Against / Null</x:v>
      </x:c>
      <x:c r="E3" s="6" t="str">
        <x:v>Test</x:v>
      </x:c>
      <x:c r="F3" s="6" t="str">
        <x:v>Status</x:v>
      </x:c>
      <x:c r="G3" s="6" t="str">
        <x:v>Priority</x:v>
      </x:c>
      <x:c r="H3" s="6" t="str">
        <x:v>Current Confidence</x:v>
      </x:c>
      <x:c r="I3" s="6" t="str">
        <x:v>Decision Rule</x:v>
      </x:c>
      <x:c r="J3" s="6" t="str">
        <x:v>Next Action</x:v>
      </x:c>
    </x:row>
    <x:row r="4">
      <x:c r="A4" s="13" t="str">
        <x:v>H1</x:v>
      </x:c>
      <x:c r="B4" s="13" t="str">
        <x:v>Minoan and Maya share a comparable spiral/recurrence visual grammar</x:v>
      </x:c>
      <x:c r="C4" s="13" t="str">
        <x:v>Akrotiri linear spirals; spiral Linear A ring; Maya scrolls/volutes; dense field construction</x:v>
      </x:c>
      <x:c r="D4" s="13" t="str">
        <x:v>Spirals are widespread globally; meanings differ</x:v>
      </x:c>
      <x:c r="E4" s="13" t="str">
        <x:v>Blind shape-feature extraction across authenticated objects</x:v>
      </x:c>
      <x:c r="F4" s="13" t="str">
        <x:v>Testing</x:v>
      </x:c>
      <x:c r="G4" s="13" t="str">
        <x:v>High</x:v>
      </x:c>
      <x:c r="H4" s="16" t="n">
        <x:v>0.72</x:v>
      </x:c>
      <x:c r="I4" s="13" t="str">
        <x:v>Support only if within-group vs cross-group feature distributions beat matched decorative controls</x:v>
      </x:c>
      <x:c r="J4" s="13" t="str">
        <x:v>Assemble 30–50 authenticated images; measure geometry.</x:v>
      </x:c>
    </x:row>
    <x:row r="5">
      <x:c r="A5" s="13" t="str">
        <x:v>H2</x:v>
      </x:c>
      <x:c r="B5" s="13" t="str">
        <x:v>Minoan and Maya numeral notation share mark-construction grammar but not the same arithmetic system</x:v>
      </x:c>
      <x:c r="C5" s="13" t="str">
        <x:v>Both use visible accumulation/bundling; Linear A cumulative additive; Maya dot/bar digits additive</x:v>
      </x:c>
      <x:c r="D5" s="13" t="str">
        <x:v>Radix, positionality, zero and mark values differ</x:v>
      </x:c>
      <x:c r="E5" s="13" t="str">
        <x:v>Formal grammar comparison independent of glyph appearance</x:v>
      </x:c>
      <x:c r="F5" s="13" t="str">
        <x:v>Supported</x:v>
      </x:c>
      <x:c r="G5" s="13" t="str">
        <x:v>High</x:v>
      </x:c>
      <x:c r="H5" s="16" t="n">
        <x:v>0.9</x:v>
      </x:c>
      <x:c r="I5" s="13" t="str">
        <x:v>Retain only as grammar-level correspondence; reject identity claim</x:v>
      </x:c>
      <x:c r="J5" s="13" t="str">
        <x:v>Encode UNIT/BUNDLE/STACK/POSITION/ZERO features.</x:v>
      </x:c>
    </x:row>
    <x:row r="6">
      <x:c r="A6" s="13" t="str">
        <x:v>H3</x:v>
      </x:c>
      <x:c r="B6" s="13" t="str">
        <x:v>Mimbres/Mogollon imagery forms a visual bridge between continuous and stepped geometry</x:v>
      </x:c>
      <x:c r="C6" s="13" t="str">
        <x:v>Mimbres corpus contains geometric/radial fields; candidate spiral and angular forms</x:v>
      </x:c>
      <x:c r="D6" s="13" t="str">
        <x:v>Museum descriptions alone do not prove each selected bowl has spiral/step forms</x:v>
      </x:c>
      <x:c r="E6" s="13" t="str">
        <x:v>Object-image feature extraction with controls</x:v>
      </x:c>
      <x:c r="F6" s="13" t="str">
        <x:v>Testing</x:v>
      </x:c>
      <x:c r="G6" s="13" t="str">
        <x:v>High</x:v>
      </x:c>
      <x:c r="H6" s="16" t="n">
        <x:v>0.64</x:v>
      </x:c>
      <x:c r="I6" s="13" t="str">
        <x:v>Require authenticated image-level geometry, not culture-level assumption</x:v>
      </x:c>
      <x:c r="J6" s="13" t="str">
        <x:v>Tag each Mimbres object after visual measurement.</x:v>
      </x:c>
    </x:row>
    <x:row r="7">
      <x:c r="A7" s="13" t="str">
        <x:v>H4</x:v>
      </x:c>
      <x:c r="B7" s="13" t="str">
        <x:v>Minoan labrys and Maya hacha are comparable ritual axe-form classes</x:v>
      </x:c>
      <x:c r="C7" s="13" t="str">
        <x:v>Both are non-utilitarian/ceremonial axe-related forms</x:v>
      </x:c>
      <x:c r="D7" s="13" t="str">
        <x:v>Different function, silhouette and ritual systems</x:v>
      </x:c>
      <x:c r="E7" s="13" t="str">
        <x:v>Shape + context comparison; no transmission inference</x:v>
      </x:c>
      <x:c r="F7" s="13" t="str">
        <x:v>Tentative</x:v>
      </x:c>
      <x:c r="G7" s="13" t="str">
        <x:v>Medium</x:v>
      </x:c>
      <x:c r="H7" s="16" t="n">
        <x:v>0.52</x:v>
      </x:c>
      <x:c r="I7" s="13" t="str">
        <x:v>Keep only as secondary morphological analogy</x:v>
      </x:c>
      <x:c r="J7" s="13" t="str">
        <x:v>Expand hacha and labrys object sample.</x:v>
      </x:c>
    </x:row>
    <x:row r="8">
      <x:c r="A8" s="13" t="str">
        <x:v>H5</x:v>
      </x:c>
      <x:c r="B8" s="13" t="str">
        <x:v>Minoan horns of consecration have a Maya sacred-framing equivalent</x:v>
      </x:c>
      <x:c r="C8" s="13" t="str">
        <x:v>Superficial paired/bifurcated forms can be found</x:v>
      </x:c>
      <x:c r="D8" s="13" t="str">
        <x:v>No defined recurrent Maya motif class established in current corpus</x:v>
      </x:c>
      <x:c r="E8" s="13" t="str">
        <x:v>Build Maya motif class before cross-comparison</x:v>
      </x:c>
      <x:c r="F8" s="13" t="str">
        <x:v>Hold</x:v>
      </x:c>
      <x:c r="G8" s="13" t="str">
        <x:v>Low</x:v>
      </x:c>
      <x:c r="H8" s="16" t="n">
        <x:v>0.25</x:v>
      </x:c>
      <x:c r="I8" s="13" t="str">
        <x:v>No positive claim until object-level Maya corpus exists</x:v>
      </x:c>
      <x:c r="J8" s="13" t="str">
        <x:v>Search codices/architecture for consistent paired framing with function.</x:v>
      </x:c>
    </x:row>
    <x:row r="9">
      <x:c r="A9" s="13" t="str">
        <x:v>H6</x:v>
      </x:c>
      <x:c r="B9" s="13" t="str">
        <x:v>Minoan 8-year/99-month cycle is a valid calendar layer for HNC comparison</x:v>
      </x:c>
      <x:c r="C9" s="13" t="str">
        <x:v>Published archaeoastronomical hypothesis and candidate objects/orientations</x:v>
      </x:c>
      <x:c r="D9" s="13" t="str">
        <x:v>Interpretation is not settled; competing functions possible</x:v>
      </x:c>
      <x:c r="E9" s="13" t="str">
        <x:v>Independent literature review + object provenance + astronomical reconstruction</x:v>
      </x:c>
      <x:c r="F9" s="13" t="str">
        <x:v>Testing</x:v>
      </x:c>
      <x:c r="G9" s="13" t="str">
        <x:v>High</x:v>
      </x:c>
      <x:c r="H9" s="16" t="n">
        <x:v>0.48</x:v>
      </x:c>
      <x:c r="I9" s="13" t="str">
        <x:v>Treat as hypothesis until replicated by independent evidence</x:v>
      </x:c>
      <x:c r="J9" s="13" t="str">
        <x:v>Collect peer-reviewed supporting/critical literature.</x:v>
      </x:c>
    </x:row>
    <x:row r="10">
      <x:c r="A10" s="13" t="str">
        <x:v>H7</x:v>
      </x:c>
      <x:c r="B10" s="13" t="str">
        <x:v>Spiral imagery across the two pillars encodes cycle rather than decoration alone</x:v>
      </x:c>
      <x:c r="C10" s="13" t="str">
        <x:v>Some spiral objects carry writing; some SW spirals interact with seasonal sunlight</x:v>
      </x:c>
      <x:c r="D10" s="13" t="str">
        <x:v>Other spirals are plainly ornamental or ambiguous</x:v>
      </x:c>
      <x:c r="E10" s="13" t="str">
        <x:v>Classify function by object context before cross-culture scoring</x:v>
      </x:c>
      <x:c r="F10" s="13" t="str">
        <x:v>Testing</x:v>
      </x:c>
      <x:c r="G10" s="13" t="str">
        <x:v>High</x:v>
      </x:c>
      <x:c r="H10" s="16" t="n">
        <x:v>0.58</x:v>
      </x:c>
      <x:c r="I10" s="13" t="str">
        <x:v>Support only at object-class level, not universal spiral meaning</x:v>
      </x:c>
      <x:c r="J10" s="13" t="str">
        <x:v>Create functional labels: writing / ritual / decorative / astronomical / unknown.</x:v>
      </x:c>
    </x:row>
  </x:sheetData>
  <x:mergeCells>
    <x:mergeCell ref="A1:J1"/>
  </x:mergeCells>
  <x:conditionalFormatting sqref="H4:H10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9ae48309b424d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8" hidden="0" customWidth="1"/>
    <x:col min="4" max="4" width="40" hidden="0" customWidth="1"/>
    <x:col min="5" max="5" width="44" hidden="0" customWidth="1"/>
    <x:col min="6" max="6" width="26" hidden="0" customWidth="1"/>
    <x:col min="7" max="7" width="44" hidden="0" customWidth="1"/>
    <x:col min="8" max="8" width="44" hidden="0" customWidth="1"/>
  </x:cols>
  <x:sheetData>
    <x:row r="1">
      <x:c r="A1" s="20" t="str">
        <x:v>Aureon HNC Integration Map</x:v>
      </x:c>
      <x:c r="B1" s="20"/>
      <x:c r="C1" s="20"/>
      <x:c r="D1" s="20"/>
      <x:c r="E1" s="20"/>
      <x:c r="F1" s="20"/>
      <x:c r="G1" s="20"/>
      <x:c r="H1" s="20"/>
    </x:row>
    <x:row r="3">
      <x:c r="A3" s="6" t="str">
        <x:v>Layer</x:v>
      </x:c>
      <x:c r="B3" s="6" t="str">
        <x:v>Current State</x:v>
      </x:c>
      <x:c r="C3" s="6" t="str">
        <x:v>Repo Path / Proposed Path</x:v>
      </x:c>
      <x:c r="D3" s="6" t="str">
        <x:v>What It Encodes</x:v>
      </x:c>
      <x:c r="E3" s="6" t="str">
        <x:v>Problem / Gap</x:v>
      </x:c>
      <x:c r="F3" s="6" t="str">
        <x:v>Ledger Dependency</x:v>
      </x:c>
      <x:c r="G3" s="6" t="str">
        <x:v>Required Change</x:v>
      </x:c>
      <x:c r="H3" s="6" t="str">
        <x:v>Verification Test</x:v>
      </x:c>
    </x:row>
    <x:row r="4">
      <x:c r="A4" s="13" t="str">
        <x:v>Maya Decoder</x:v>
      </x:c>
      <x:c r="B4" s="13" t="str">
        <x:v>Existing</x:v>
      </x:c>
      <x:c r="C4" s="13" t="str">
        <x:v>aureon/decoders/maya_decoder.py</x:v>
      </x:c>
      <x:c r="D4" s="13" t="str">
        <x:v>Tzolk'in signs, Long Count cycles, Venus table, HNC-assigned frequency layer</x:v>
      </x:c>
      <x:c r="E4" s="13" t="str">
        <x:v>Native calendar facts and HNC frequency correspondences are mixed in one model</x:v>
      </x:c>
      <x:c r="F4" s="13" t="str">
        <x:v>MAY-003; CAL-002</x:v>
      </x:c>
      <x:c r="G4" s="13" t="str">
        <x:v>Separate native calendar arithmetic from HNC overlay metadata</x:v>
      </x:c>
      <x:c r="H4" s="13" t="str">
        <x:v>Reference-date conversions match Smithsonian examples; overlay can be disabled without changing native date.</x:v>
      </x:c>
    </x:row>
    <x:row r="5">
      <x:c r="A5" s="13" t="str">
        <x:v>Mogollon Decoder</x:v>
      </x:c>
      <x:c r="B5" s="13" t="str">
        <x:v>Existing</x:v>
      </x:c>
      <x:c r="C5" s="13" t="str">
        <x:v>aureon/decoders/mogollon_decoder.py</x:v>
      </x:c>
      <x:c r="D5" s="13" t="str">
        <x:v>Solar markers, Chaco/Fajada events and great-house nodes</x:v>
      </x:c>
      <x:c r="E5" s="13" t="str">
        <x:v>Chaco/Ancestral Puebloan material is over-grouped under Mogollon</x:v>
      </x:c>
      <x:c r="F5" s="13" t="str">
        <x:v>ANP-001; ANP-002; MIM rows</x:v>
      </x:c>
      <x:c r="G5" s="13" t="str">
        <x:v>Split tradition labels: Mimbres/Mogollon vs Chacoan/Ancestral Puebloan</x:v>
      </x:c>
      <x:c r="H5" s="13" t="str">
        <x:v>Every artifact retains culture/site provenance and no cross-label substitution.</x:v>
      </x:c>
    </x:row>
    <x:row r="6">
      <x:c r="A6" s="13" t="str">
        <x:v>Minoan Decoder</x:v>
      </x:c>
      <x:c r="B6" s="13" t="str">
        <x:v>Missing / proposed</x:v>
      </x:c>
      <x:c r="C6" s="13" t="str">
        <x:v>aureon/decoders/minoan_decoder.py</x:v>
      </x:c>
      <x:c r="D6" s="13" t="str">
        <x:v>Numeral morphology, spirals, Linear A layout, labrys, horns, marine field, calendar hypotheses</x:v>
      </x:c>
      <x:c r="E6" s="13" t="str">
        <x:v>No dedicated native-evidence layer</x:v>
      </x:c>
      <x:c r="F6" s="13" t="str">
        <x:v>MIN rows; NUM-001; CAL-001</x:v>
      </x:c>
      <x:c r="G6" s="13" t="str">
        <x:v>Add evidence-first decoder with status flags: observed / interpretation / hypothesis</x:v>
      </x:c>
      <x:c r="H6" s="13" t="str">
        <x:v>Decoder output can reproduce object metadata without assigning HNC meaning.</x:v>
      </x:c>
    </x:row>
    <x:row r="7">
      <x:c r="A7" s="13" t="str">
        <x:v>Visual Grammar</x:v>
      </x:c>
      <x:c r="B7" s="13" t="str">
        <x:v>Missing / proposed</x:v>
      </x:c>
      <x:c r="C7" s="13" t="str">
        <x:v>aureon/analysis/visual_grammar.py</x:v>
      </x:c>
      <x:c r="D7" s="13" t="str">
        <x:v>Turn count, pitch, chirality, step geometry, nesting depth, field occupancy</x:v>
      </x:c>
      <x:c r="E7" s="13" t="str">
        <x:v>Current comparisons are mostly hand-authored semantic mappings</x:v>
      </x:c>
      <x:c r="F7" s="13" t="str">
        <x:v>Motif Matrix</x:v>
      </x:c>
      <x:c r="G7" s="13" t="str">
        <x:v>Implement measurable image-independent feature schema</x:v>
      </x:c>
      <x:c r="H7" s="13" t="str">
        <x:v>Blind comparison returns geometry features before culture labels are revealed.</x:v>
      </x:c>
    </x:row>
    <x:row r="8">
      <x:c r="A8" s="13" t="str">
        <x:v>Celestial Phase Layer</x:v>
      </x:c>
      <x:c r="B8" s="13" t="str">
        <x:v>Partial / proposed refinement</x:v>
      </x:c>
      <x:c r="C8" s="13" t="str">
        <x:v>aureon/atn/ + new calendar adapters</x:v>
      </x:c>
      <x:c r="D8" s="13" t="str">
        <x:v>Native cycle phase and recurrence comparison</x:v>
      </x:c>
      <x:c r="E8" s="13" t="str">
        <x:v>Different traditions are not normalised through a provenance-preserving phase model</x:v>
      </x:c>
      <x:c r="F8" s="13" t="str">
        <x:v>Calendar &amp; Number</x:v>
      </x:c>
      <x:c r="G8" s="13" t="str">
        <x:v>Represent each verified cycle with period, epoch, uncertainty and provenance</x:v>
      </x:c>
      <x:c r="H8" s="13" t="str">
        <x:v>Phase calculations reproduce documented native calendar / seasonal events.</x:v>
      </x:c>
    </x:row>
    <x:row r="9">
      <x:c r="A9" s="13" t="str">
        <x:v>Evidence Ledger</x:v>
      </x:c>
      <x:c r="B9" s="13" t="str">
        <x:v>New</x:v>
      </x:c>
      <x:c r="C9" s="13" t="str">
        <x:v>docs/research/ledger/ or structured data file</x:v>
      </x:c>
      <x:c r="D9" s="13" t="str">
        <x:v>Artifact provenance, source, interpretation status and confidence</x:v>
      </x:c>
      <x:c r="E9" s="13" t="str">
        <x:v>Claims can currently be repeated without a single auditable object registry</x:v>
      </x:c>
      <x:c r="F9" s="13" t="str">
        <x:v>This workbook</x:v>
      </x:c>
      <x:c r="G9" s="13" t="str">
        <x:v>Convert ledger to machine-readable JSON/CSV and require IDs in decoder claims</x:v>
      </x:c>
      <x:c r="H9" s="13" t="str">
        <x:v>Every comparative claim resolves to ≥1 ledger ID and source URL.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ca1e3a018ef4d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28" hidden="0" customWidth="1"/>
    <x:col min="5" max="5" width="60" hidden="0" customWidth="1"/>
    <x:col min="6" max="6" width="52" hidden="0" customWidth="1"/>
  </x:cols>
  <x:sheetData>
    <x:row r="1">
      <x:c r="A1" s="6" t="str">
        <x:v>Source ID</x:v>
      </x:c>
      <x:c r="B1" s="6" t="str">
        <x:v>Institution / Authority</x:v>
      </x:c>
      <x:c r="C1" s="6" t="str">
        <x:v>Source Type</x:v>
      </x:c>
      <x:c r="D1" s="6" t="str">
        <x:v>Supports Ledger IDs</x:v>
      </x:c>
      <x:c r="E1" s="6" t="str">
        <x:v>URL</x:v>
      </x:c>
      <x:c r="F1" s="6" t="str">
        <x:v>Use / Caveat</x:v>
      </x:c>
    </x:row>
    <x:row r="2">
      <x:c r="A2" s="13" t="str">
        <x:v>S01</x:v>
      </x:c>
      <x:c r="B2" s="13" t="str">
        <x:v>Heraklion Archaeological Museum</x:v>
      </x:c>
      <x:c r="C2" s="13" t="str">
        <x:v>Museum object record</x:v>
      </x:c>
      <x:c r="D2" s="13" t="str">
        <x:v>MIN-002</x:v>
      </x:c>
      <x:c r="E2" s="13" t="str">
        <x:v>https://www.heraklionmuseum.gr/en/exhibit/the-phaistos-disc/</x:v>
      </x:c>
      <x:c r="F2" s="13" t="str">
        <x:v>Primary description of disc, sign count, group count and reading direction.</x:v>
      </x:c>
    </x:row>
    <x:row r="3">
      <x:c r="A3" s="13" t="str">
        <x:v>S02</x:v>
      </x:c>
      <x:c r="B3" s="13" t="str">
        <x:v>Heraklion Archaeological Museum</x:v>
      </x:c>
      <x:c r="C3" s="13" t="str">
        <x:v>Museum object record</x:v>
      </x:c>
      <x:c r="D3" s="13" t="str">
        <x:v>MIN-003</x:v>
      </x:c>
      <x:c r="E3" s="13" t="str">
        <x:v>https://www.heraklionmuseum.gr/en/exhibit/gold-ring-with-spiral-linear-a-inscription/</x:v>
      </x:c>
      <x:c r="F3" s="13" t="str">
        <x:v>Primary description of spiral Linear A inscription.</x:v>
      </x:c>
    </x:row>
    <x:row r="4">
      <x:c r="A4" s="13" t="str">
        <x:v>S03</x:v>
      </x:c>
      <x:c r="B4" s="13" t="str">
        <x:v>Mediterranean Archaeology and Archaeometry</x:v>
      </x:c>
      <x:c r="C4" s="13" t="str">
        <x:v>Peer-reviewed research</x:v>
      </x:c>
      <x:c r="D4" s="13" t="str">
        <x:v>MIN-001</x:v>
      </x:c>
      <x:c r="E4" s="13" t="str">
        <x:v>https://www.maajournal.com/index.php/maa/article/view/874</x:v>
      </x:c>
      <x:c r="F4" s="13" t="str">
        <x:v>Geometry/stencil analysis; interpret cautiously beyond construction method.</x:v>
      </x:c>
    </x:row>
    <x:row r="5">
      <x:c r="A5" s="13" t="str">
        <x:v>S04</x:v>
      </x:c>
      <x:c r="B5" s="13" t="str">
        <x:v>National Museum of Ireland</x:v>
      </x:c>
      <x:c r="C5" s="13" t="str">
        <x:v>Museum object record</x:v>
      </x:c>
      <x:c r="D5" s="13" t="str">
        <x:v>MIN-004</x:v>
      </x:c>
      <x:c r="E5" s="13" t="str">
        <x:v>https://cms.museum.ie/en-IE/Collections-Research/Collection/Documentation-Discoveries/Artefact/Minoan-Pottery-Sherd/8c8d39cb-bbfd-4fea-ac47-dc29666aa08e</x:v>
      </x:c>
      <x:c r="F5" s="13" t="str">
        <x:v>Marine Style object/context.</x:v>
      </x:c>
    </x:row>
    <x:row r="6">
      <x:c r="A6" s="13" t="str">
        <x:v>S05</x:v>
      </x:c>
      <x:c r="B6" s="13" t="str">
        <x:v>British Museum</x:v>
      </x:c>
      <x:c r="C6" s="13" t="str">
        <x:v>Museum object record</x:v>
      </x:c>
      <x:c r="D6" s="13" t="str">
        <x:v>MIN-005</x:v>
      </x:c>
      <x:c r="E6" s="13" t="str">
        <x:v>https://www.britishmuseum.org/collection/object/G_1934-1124-1</x:v>
      </x:c>
      <x:c r="F6" s="13" t="str">
        <x:v>Votive double-axes.</x:v>
      </x:c>
    </x:row>
    <x:row r="7">
      <x:c r="A7" s="13" t="str">
        <x:v>S06</x:v>
      </x:c>
      <x:c r="B7" s="13" t="str">
        <x:v>Heraklion Archaeological Museum</x:v>
      </x:c>
      <x:c r="C7" s="13" t="str">
        <x:v>Museum object record</x:v>
      </x:c>
      <x:c r="D7" s="13" t="str">
        <x:v>MIN-006</x:v>
      </x:c>
      <x:c r="E7" s="13" t="str">
        <x:v>https://heraklionmuseum.gr/en/exhibit/green-steatite-rhyton-with-relief-open-air-sanctuary/</x:v>
      </x:c>
      <x:c r="F7" s="13" t="str">
        <x:v>Spiral-decorated sanctuary + horns of consecration.</x:v>
      </x:c>
    </x:row>
    <x:row r="8">
      <x:c r="A8" s="13" t="str">
        <x:v>S07</x:v>
      </x:c>
      <x:c r="B8" s="13" t="str">
        <x:v>Heraklion Archaeological Museum</x:v>
      </x:c>
      <x:c r="C8" s="13" t="str">
        <x:v>Collection record</x:v>
      </x:c>
      <x:c r="D8" s="13" t="str">
        <x:v>MIN-007</x:v>
      </x:c>
      <x:c r="E8" s="13" t="str">
        <x:v>https://ca.heraklionmuseum.gr/ca/pawtucket/index.php/Detail/objects/538</x:v>
      </x:c>
      <x:c r="F8" s="13" t="str">
        <x:v>Horns as Minoan ritual symbol.</x:v>
      </x:c>
    </x:row>
    <x:row r="9">
      <x:c r="A9" s="13" t="str">
        <x:v>S08</x:v>
      </x:c>
      <x:c r="B9" s="13" t="str">
        <x:v>Metropolitan Museum of Art</x:v>
      </x:c>
      <x:c r="C9" s="13" t="str">
        <x:v>Museum object record</x:v>
      </x:c>
      <x:c r="D9" s="13" t="str">
        <x:v>MAY-001</x:v>
      </x:c>
      <x:c r="E9" s="13" t="str">
        <x:v>https://www.metmuseum.org/art/collection/search/309713</x:v>
      </x:c>
      <x:c r="F9" s="13" t="str">
        <x:v>Maya vessel: spiral motifs, scrolls, ballgame imagery.</x:v>
      </x:c>
    </x:row>
    <x:row r="10">
      <x:c r="A10" s="13" t="str">
        <x:v>S09</x:v>
      </x:c>
      <x:c r="B10" s="13" t="str">
        <x:v>Hudson Museum, University of Maine</x:v>
      </x:c>
      <x:c r="C10" s="13" t="str">
        <x:v>University museum</x:v>
      </x:c>
      <x:c r="D10" s="13" t="str">
        <x:v>MAY-002</x:v>
      </x:c>
      <x:c r="E10" s="13" t="str">
        <x:v>https://umaine.edu/hudsonmuseum/maya/ballgame-2/</x:v>
      </x:c>
      <x:c r="F10" s="13" t="str">
        <x:v>Hacha vs manopla distinction.</x:v>
      </x:c>
    </x:row>
    <x:row r="11">
      <x:c r="A11" s="13" t="str">
        <x:v>S10</x:v>
      </x:c>
      <x:c r="B11" s="13" t="str">
        <x:v>Smithsonian NMAI</x:v>
      </x:c>
      <x:c r="C11" s="13" t="str">
        <x:v>Cultural / educational source</x:v>
      </x:c>
      <x:c r="D11" s="13" t="str">
        <x:v>MAY-003; CAL-002</x:v>
      </x:c>
      <x:c r="E11" s="13" t="str">
        <x:v>https://maya.nmai.si.edu/calendar/calendar-system</x:v>
      </x:c>
      <x:c r="F11" s="13" t="str">
        <x:v>Maya calendar structures.</x:v>
      </x:c>
    </x:row>
    <x:row r="12">
      <x:c r="A12" s="13" t="str">
        <x:v>S11</x:v>
      </x:c>
      <x:c r="B12" s="13" t="str">
        <x:v>Smithsonian NMAI</x:v>
      </x:c>
      <x:c r="C12" s="13" t="str">
        <x:v>Cultural / educational source</x:v>
      </x:c>
      <x:c r="D12" s="13" t="str">
        <x:v>MAY-003</x:v>
      </x:c>
      <x:c r="E12" s="13" t="str">
        <x:v>https://maya.nmai.si.edu/maya-sun/maya-math-game</x:v>
      </x:c>
      <x:c r="F12" s="13" t="str">
        <x:v>Maya dot/bar/shell values and vigesimal math.</x:v>
      </x:c>
    </x:row>
    <x:row r="13">
      <x:c r="A13" s="13" t="str">
        <x:v>S12</x:v>
      </x:c>
      <x:c r="B13" s="13" t="str">
        <x:v>Visual Lexicon of Aztec Hieroglyphs</x:v>
      </x:c>
      <x:c r="C13" s="13" t="str">
        <x:v>Scholarly digital lexicon</x:v>
      </x:c>
      <x:c r="D13" s="13" t="str">
        <x:v>MES-001</x:v>
      </x:c>
      <x:c r="E13" s="13" t="str">
        <x:v>https://aztecglyphs.wired-humanities.org/node/2015</x:v>
      </x:c>
      <x:c r="F13" s="13" t="str">
        <x:v>xicalcoliuhqui is Nahua/Aztec comparator, not Maya-specific.</x:v>
      </x:c>
    </x:row>
    <x:row r="14">
      <x:c r="A14" s="13" t="str">
        <x:v>S13</x:v>
      </x:c>
      <x:c r="B14" s="13" t="str">
        <x:v>Metropolitan Museum of Art</x:v>
      </x:c>
      <x:c r="C14" s="13" t="str">
        <x:v>Museum object record</x:v>
      </x:c>
      <x:c r="D14" s="13" t="str">
        <x:v>MIM-001</x:v>
      </x:c>
      <x:c r="E14" s="13" t="str">
        <x:v>https://www.metmuseum.org/art/collection/search/310575</x:v>
      </x:c>
      <x:c r="F14" s="13" t="str">
        <x:v>Mimbres bowl and cultural context.</x:v>
      </x:c>
    </x:row>
    <x:row r="15">
      <x:c r="A15" s="13" t="str">
        <x:v>S14</x:v>
      </x:c>
      <x:c r="B15" s="13" t="str">
        <x:v>Metropolitan Museum of Art</x:v>
      </x:c>
      <x:c r="C15" s="13" t="str">
        <x:v>Museum object record</x:v>
      </x:c>
      <x:c r="D15" s="13" t="str">
        <x:v>MIM-002</x:v>
      </x:c>
      <x:c r="E15" s="13" t="str">
        <x:v>https://www.metmuseum.org/art/collection/search/310578</x:v>
      </x:c>
      <x:c r="F15" s="13" t="str">
        <x:v>Mimbres bowl object record.</x:v>
      </x:c>
    </x:row>
    <x:row r="16">
      <x:c r="A16" s="13" t="str">
        <x:v>S15</x:v>
      </x:c>
      <x:c r="B16" s="13" t="str">
        <x:v>Metropolitan Museum of Art</x:v>
      </x:c>
      <x:c r="C16" s="13" t="str">
        <x:v>Museum object record</x:v>
      </x:c>
      <x:c r="D16" s="13" t="str">
        <x:v>MIM-003</x:v>
      </x:c>
      <x:c r="E16" s="13" t="str">
        <x:v>https://www.metmuseum.org/art/collection/search/775558</x:v>
      </x:c>
      <x:c r="F16" s="13" t="str">
        <x:v>Mogollon (Mimbres) bowl; ritual killing context.</x:v>
      </x:c>
    </x:row>
    <x:row r="17">
      <x:c r="A17" s="13" t="str">
        <x:v>S16</x:v>
      </x:c>
      <x:c r="B17" s="13" t="str">
        <x:v>U.S. National Park Service</x:v>
      </x:c>
      <x:c r="C17" s="13" t="str">
        <x:v>Government archaeological interpretation</x:v>
      </x:c>
      <x:c r="D17" s="13" t="str">
        <x:v>ANP-001; ANP-002</x:v>
      </x:c>
      <x:c r="E17" s="13" t="str">
        <x:v>https://home.nps.gov/articles/000/archeoastronomy-in-stone.htm</x:v>
      </x:c>
      <x:c r="F17" s="13" t="str">
        <x:v>Sun Dagger and Puerco Pueblo seasonal spiral markers.</x:v>
      </x:c>
    </x:row>
    <x:row r="18">
      <x:c r="A18" s="13" t="str">
        <x:v>S17</x:v>
      </x:c>
      <x:c r="B18" s="13" t="str">
        <x:v>Journal of Archaeological Science</x:v>
      </x:c>
      <x:c r="C18" s="13" t="str">
        <x:v>Peer-reviewed research</x:v>
      </x:c>
      <x:c r="D18" s="13" t="str">
        <x:v>NUM-001</x:v>
      </x:c>
      <x:c r="E18" s="13" t="str">
        <x:v>https://doi.org/10.1016/j.jas.2020.105214</x:v>
      </x:c>
      <x:c r="F18" s="13" t="str">
        <x:v>Linear A decimal cumulative-additive numeration.</x:v>
      </x:c>
    </x:row>
    <x:row r="19">
      <x:c r="A19" s="13" t="str">
        <x:v>S18</x:v>
      </x:c>
      <x:c r="B19" s="13" t="str">
        <x:v>Marianna Ridderstad / arXiv paper</x:v>
      </x:c>
      <x:c r="C19" s="13" t="str">
        <x:v>Research hypothesis</x:v>
      </x:c>
      <x:c r="D19" s="13" t="str">
        <x:v>CAL-001</x:v>
      </x:c>
      <x:c r="E19" s="13" t="str">
        <x:v>https://arxiv.org/abs/0910.4801</x:v>
      </x:c>
      <x:c r="F19" s="13" t="str">
        <x:v>Minoan astronomy/calendar model; preserve as hypothesis, not settled fact.</x:v>
      </x:c>
    </x:row>
    <x:row r="20">
      <x:c r="A20" s="13" t="str">
        <x:v>S19</x:v>
      </x:c>
      <x:c r="B20" s="13" t="str">
        <x:v>RA-CONSULTING / Aureon-OS</x:v>
      </x:c>
      <x:c r="C20" s="13" t="str">
        <x:v>GitHub repository</x:v>
      </x:c>
      <x:c r="D20" s="13" t="str">
        <x:v>HNC Integration</x:v>
      </x:c>
      <x:c r="E20" s="13" t="str">
        <x:v>https://github.com/RA-CONSULTING/Aureon-OS/blob/main/docs/research/UNIFIED_FIELD.md</x:v>
      </x:c>
      <x:c r="F20" s="13" t="str">
        <x:v>Current Aureon ancient-convergence framing.</x:v>
      </x:c>
    </x:row>
    <x:row r="21">
      <x:c r="A21" s="13" t="str">
        <x:v>S20</x:v>
      </x:c>
      <x:c r="B21" s="13" t="str">
        <x:v>RA-CONSULTING / Aureon-OS</x:v>
      </x:c>
      <x:c r="C21" s="13" t="str">
        <x:v>GitHub repository</x:v>
      </x:c>
      <x:c r="D21" s="13" t="str">
        <x:v>MAY-003; CAL-002</x:v>
      </x:c>
      <x:c r="E21" s="13" t="str">
        <x:v>https://github.com/RA-CONSULTING/Aureon-OS/blob/main/aureon/decoders/maya_decoder.py</x:v>
      </x:c>
      <x:c r="F21" s="13" t="str">
        <x:v>Current Maya HNC decoder.</x:v>
      </x:c>
    </x:row>
    <x:row r="22">
      <x:c r="A22" s="13" t="str">
        <x:v>S21</x:v>
      </x:c>
      <x:c r="B22" s="13" t="str">
        <x:v>RA-CONSULTING / Aureon-OS</x:v>
      </x:c>
      <x:c r="C22" s="13" t="str">
        <x:v>GitHub repository</x:v>
      </x:c>
      <x:c r="D22" s="13" t="str">
        <x:v>MIM/ANP integration</x:v>
      </x:c>
      <x:c r="E22" s="13" t="str">
        <x:v>https://github.com/RA-CONSULTING/Aureon-OS/blob/main/aureon/decoders/mogollon_decoder.py</x:v>
      </x:c>
      <x:c r="F22" s="13" t="str">
        <x:v>Current Southwest decoder; classification separation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0f8ac242dc7648b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8" hidden="0" customWidth="1"/>
    <x:col min="5" max="5" width="14" hidden="0" customWidth="1"/>
    <x:col min="6" max="6" width="36" hidden="0" customWidth="1"/>
    <x:col min="7" max="7" width="18" hidden="0" customWidth="1"/>
    <x:col min="8" max="8" width="18" hidden="0" customWidth="1"/>
  </x:cols>
  <x:sheetData>
    <x:row r="1">
      <x:c r="A1" s="20" t="str">
        <x:v>Aureon HNC Celestial Calendar — Master Evidence Ledger v1</x:v>
      </x:c>
      <x:c r="B1" s="20"/>
      <x:c r="C1" s="20"/>
      <x:c r="D1" s="20"/>
      <x:c r="E1" s="20"/>
      <x:c r="F1" s="20"/>
      <x:c r="G1" s="20"/>
      <x:c r="H1" s="20"/>
    </x:row>
    <x:row r="2">
      <x:c r="A2" s="28" t="str">
        <x:v>Two-pillar model: Pillar 1 = Maya × Minoan encoded visual mathematics; Pillar 2 = Mogollon/Mimbres + Ancestral Puebloan field/observation. Observed fact, scholarly interpretation and Aureon hypothesis remain separate.</x:v>
      </x:c>
      <x:c r="B2" s="28"/>
      <x:c r="C2" s="28"/>
      <x:c r="D2" s="28"/>
      <x:c r="E2" s="28"/>
      <x:c r="F2" s="28"/>
      <x:c r="G2" s="28"/>
      <x:c r="H2" s="28"/>
    </x:row>
    <x:row r="4">
      <x:c r="A4" s="36" t="str">
        <x:v>KPI</x:v>
      </x:c>
      <x:c r="B4" s="36" t="str">
        <x:v>Value</x:v>
      </x:c>
      <x:c r="D4" s="36" t="str">
        <x:v>Evidence Status</x:v>
      </x:c>
      <x:c r="E4" s="36" t="str">
        <x:v>Count</x:v>
      </x:c>
      <x:c r="F4" s="36" t="str">
        <x:v>Working Meaning</x:v>
      </x:c>
    </x:row>
    <x:row r="5">
      <x:c r="A5" t="str">
        <x:v>Ledger records</x:v>
      </x:c>
      <x:c r="B5" t="n">
        <x:f>COUNTA('Master Ledger'!A2:A200)</x:f>
        <x:v>19</x:v>
      </x:c>
      <x:c r="D5" t="str">
        <x:v>Established / observed</x:v>
      </x:c>
      <x:c r="E5" t="n">
        <x:f>COUNTIF('Master Ledger'!O2:O20,"Observed fact")+COUNTIF('Master Ledger'!O2:O20,"Established system description")+COUNTIF('Master Ledger'!O2:O20,"Established numerical description")+COUNTIF('Master Ledger'!O2:O20,"Observed iconography")+COUNTIF('Master Ledger'!O2:O20,"Observed structure")</x:f>
        <x:v>7</x:v>
      </x:c>
      <x:c r="F5" t="str">
        <x:v>Primary object/system facts</x:v>
      </x:c>
    </x:row>
    <x:row r="6">
      <x:c r="A6" t="str">
        <x:v>Pillar 1 records</x:v>
      </x:c>
      <x:c r="B6" t="n">
        <x:f>COUNTIF('Master Ledger'!B2:B20,"Pillar 1 — Maya × Minoan")</x:f>
        <x:v>13</x:v>
      </x:c>
      <x:c r="D6" t="str">
        <x:v>Interpretive / contextual</x:v>
      </x:c>
      <x:c r="E6" t="n">
        <x:f>COUNTIF('Master Ledger'!O2:O20,"Observed fact + museum interpretation")+COUNTIF('Master Ledger'!O2:O20,"Observed fact + contextual interpretation")+COUNTIF('Master Ledger'!O2:O20,"Observed fact + functional interpretation")+COUNTIF('Master Ledger'!O2:O20,"Observed + scholarly interpretation")+COUNTIF('Master Ledger'!O2:O20,"Observed monument + archaeological interpretation")</x:f>
        <x:v>10</x:v>
      </x:c>
      <x:c r="F6" t="str">
        <x:v>Museum or scholarly interpretation</x:v>
      </x:c>
    </x:row>
    <x:row r="7">
      <x:c r="A7" t="str">
        <x:v>Pillar 2 / observational records</x:v>
      </x:c>
      <x:c r="B7" t="n">
        <x:f>COUNTIF('Master Ledger'!B2:B20,"Pillar 2 — Mogollon / Mimbres")+COUNTIF('Master Ledger'!B2:B20,"Pillar 2 — observational anchor")</x:f>
        <x:v>5</x:v>
      </x:c>
      <x:c r="D7" t="str">
        <x:v>Hypothesis / unresolved</x:v>
      </x:c>
      <x:c r="E7" t="n">
        <x:f>COUNTIF('Master Ledger'!O2:O20,"Observed fact; function unresolved")+COUNTIF('Master Ledger'!O2:O20,"Scholarly hypothesis; contested/needs independent corroboration")</x:f>
        <x:v>2</x:v>
      </x:c>
      <x:c r="F7" t="str">
        <x:v>Requires independent testing</x:v>
      </x:c>
    </x:row>
    <x:row r="8">
      <x:c r="A8" t="str">
        <x:v>Average confidence</x:v>
      </x:c>
      <x:c r="B8" s="42" t="n">
        <x:f>AVERAGE('Master Ledger'!P2:P20)</x:f>
        <x:v>0.9205263157894736</x:v>
      </x:c>
    </x:row>
    <x:row r="9">
      <x:c r="A9" t="str">
        <x:v>Open hypotheses (Testing/Tentative/Hold)</x:v>
      </x:c>
      <x:c r="B9" t="n">
        <x:f>COUNTIF('Hypothesis Register'!F4:F10,"Testing")+COUNTIF('Hypothesis Register'!F4:F10,"Tentative")+COUNTIF('Hypothesis Register'!F4:F10,"Hold")</x:f>
        <x:v>6</x:v>
      </x:c>
    </x:row>
    <x:row r="11">
      <x:c r="A11" s="46" t="str">
        <x:v>Core Research Rule</x:v>
      </x:c>
      <x:c r="B11" s="46"/>
      <x:c r="C11" s="46"/>
      <x:c r="D11" s="46"/>
      <x:c r="E11" s="46"/>
      <x:c r="F11" s="46"/>
      <x:c r="G11" s="46"/>
      <x:c r="H11" s="46"/>
    </x:row>
    <x:row r="12">
      <x:c r="A12" s="53" t="str">
        <x:v>Native evidence first → explicit object provenance → measurable geometry / arithmetic → calendar or astronomical interpretation → HNC mapping last. A visual resemblance may justify a test; it does not establish common origin, identical meaning, or transmission.</x:v>
      </x:c>
      <x:c r="B12" s="53"/>
      <x:c r="C12" s="53"/>
      <x:c r="D12" s="53"/>
      <x:c r="E12" s="53"/>
      <x:c r="F12" s="53"/>
      <x:c r="G12" s="53"/>
      <x:c r="H12" s="53"/>
    </x:row>
    <x:row r="13">
      <x:c r="A13" s="53"/>
      <x:c r="B13" s="53"/>
      <x:c r="C13" s="53"/>
      <x:c r="D13" s="53"/>
      <x:c r="E13" s="53"/>
      <x:c r="F13" s="53"/>
      <x:c r="G13" s="53"/>
      <x:c r="H13" s="53"/>
    </x:row>
    <x:row r="14">
      <x:c r="A14" s="53"/>
      <x:c r="B14" s="53"/>
      <x:c r="C14" s="53"/>
      <x:c r="D14" s="53"/>
      <x:c r="E14" s="53"/>
      <x:c r="F14" s="53"/>
      <x:c r="G14" s="53"/>
      <x:c r="H14" s="53"/>
    </x:row>
    <x:row r="16">
      <x:c r="A16" s="36" t="str">
        <x:v>Tradition Group</x:v>
      </x:c>
      <x:c r="B16" s="36" t="str">
        <x:v>Records</x:v>
      </x:c>
      <x:c r="C16" s="36" t="str">
        <x:v>Average Confidence</x:v>
      </x:c>
    </x:row>
    <x:row r="17">
      <x:c r="A17" t="str">
        <x:v>Minoan</x:v>
      </x:c>
      <x:c r="B17" t="n">
        <x:f>COUNTIF('Master Ledger'!C2:C20,"Minoan")+COUNTIF('Master Ledger'!C2:C20,"Minoan / Aegean")+COUNTIF('Master Ledger'!C2:C20,"Late Minoan")+COUNTIF('Master Ledger'!C2:C20,"Minoan tradition")+COUNTIF('Master Ledger'!C2:C20,"Minoan / Linear A")</x:f>
        <x:v>9</x:v>
      </x:c>
      <x:c r="C17" s="42" t="n">
        <x:f>AVERAGE('Master Ledger'!P2:P8)</x:f>
        <x:v>0.9385714285714285</x:v>
      </x:c>
    </x:row>
    <x:row r="18">
      <x:c r="A18" t="str">
        <x:v>Maya</x:v>
      </x:c>
      <x:c r="B18" t="n">
        <x:f>COUNTIF('Master Ledger'!C2:C20,"Maya")+COUNTIF('Master Ledger'!C2:C20,"Maya; Teotihuacan-style influence")</x:f>
        <x:v>4</x:v>
      </x:c>
      <x:c r="C18" s="42" t="n">
        <x:f>AVERAGE('Master Ledger'!P9:P11)</x:f>
        <x:v>0.9366666666666666</x:v>
      </x:c>
    </x:row>
    <x:row r="19">
      <x:c r="A19" t="str">
        <x:v>Mimbres / Mogollon</x:v>
      </x:c>
      <x:c r="B19" t="n">
        <x:f>COUNTIF('Master Ledger'!C2:C20,"Mimbres")+COUNTIF('Master Ledger'!C2:C20,"Mogollon (Mimbres)")</x:f>
        <x:v>3</x:v>
      </x:c>
      <x:c r="C19" s="42" t="n">
        <x:f>AVERAGE('Master Ledger'!P13:P15)</x:f>
        <x:v>0.9433333333333334</x:v>
      </x:c>
    </x:row>
    <x:row r="20">
      <x:c r="A20" t="str">
        <x:v>Ancestral Puebloan</x:v>
      </x:c>
      <x:c r="B20" t="n">
        <x:f>COUNTIF('Master Ledger'!C2:C20,"Ancestral Puebloan / Chacoan")+COUNTIF('Master Ledger'!C2:C20,"Ancestral Puebloan")</x:f>
        <x:v>2</x:v>
      </x:c>
      <x:c r="C20" s="42" t="n">
        <x:f>AVERAGE('Master Ledger'!P16:P17)</x:f>
        <x:v>0.905</x:v>
      </x:c>
    </x:row>
    <x:row r="21">
      <x:c r="A21" t="str">
        <x:v>Wider Mesoamerican comparator</x:v>
      </x:c>
      <x:c r="B21" t="n">
        <x:f>COUNTIF('Master Ledger'!C2:C20,"Nahua / Aztec iconographic corpus")</x:f>
        <x:v>1</x:v>
      </x:c>
      <x:c r="C21" s="42" t="n">
        <x:f>'Master Ledger'!P12</x:f>
        <x:v>0.94</x:v>
      </x:c>
    </x:row>
  </x:sheetData>
  <x:mergeCells>
    <x:mergeCell ref="A1:H1"/>
    <x:mergeCell ref="A2:H2"/>
    <x:mergeCell ref="A11:H11"/>
    <x:mergeCell ref="A12:H14"/>
  </x:mergeCells>
  <x:pageMargins left="0.7" right="0.7" top="0.75" bottom="0.75" header="0.3" footer="0.3"/>
  <x:drawing xmlns:r="http://schemas.openxmlformats.org/officeDocument/2006/relationships" r:id="R1e55387045b34ae8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6" hidden="0" customWidth="1"/>
    <x:col min="5" max="5" width="38" hidden="0" customWidth="1"/>
    <x:col min="6" max="6" width="34" hidden="0" customWidth="1"/>
  </x:cols>
  <x:sheetData>
    <x:row r="1">
      <x:c r="A1" s="20" t="str">
        <x:v>Ledger Legend &amp; Scoring Rules</x:v>
      </x:c>
      <x:c r="B1" s="20"/>
      <x:c r="C1" s="20"/>
      <x:c r="D1" s="20"/>
      <x:c r="E1" s="20"/>
      <x:c r="F1" s="20"/>
    </x:row>
    <x:row r="3">
      <x:c r="A3" s="6" t="str">
        <x:v>Field</x:v>
      </x:c>
      <x:c r="B3" s="6" t="str">
        <x:v>Meaning</x:v>
      </x:c>
      <x:c r="C3" s="6" t="str">
        <x:v>Allowed / Preferred Values</x:v>
      </x:c>
      <x:c r="D3" s="6" t="str">
        <x:v>Do</x:v>
      </x:c>
      <x:c r="E3" s="6" t="str">
        <x:v>Do Not</x:v>
      </x:c>
      <x:c r="F3" s="6" t="str">
        <x:v>Reason</x:v>
      </x:c>
    </x:row>
    <x:row r="4">
      <x:c r="A4" s="13" t="str">
        <x:v>Evidence Level</x:v>
      </x:c>
      <x:c r="B4" s="13" t="str">
        <x:v>Where the evidence comes from</x:v>
      </x:c>
      <x:c r="C4" s="13" t="str">
        <x:v>Museum / peer-reviewed / NPS / Smithsonian / repo</x:v>
      </x:c>
      <x:c r="D4" s="13" t="str">
        <x:v>Prefer primary object records</x:v>
      </x:c>
      <x:c r="E4" s="13" t="str">
        <x:v>Use unattributed images as evidence</x:v>
      </x:c>
      <x:c r="F4" s="13" t="str">
        <x:v>Maintains provenance</x:v>
      </x:c>
    </x:row>
    <x:row r="5">
      <x:c r="A5" s="13" t="str">
        <x:v>Interpretation Status</x:v>
      </x:c>
      <x:c r="B5" s="13" t="str">
        <x:v>Epistemic state</x:v>
      </x:c>
      <x:c r="C5" s="13" t="str">
        <x:v>Observed / established / interpretation / hypothesis / unresolved</x:v>
      </x:c>
      <x:c r="D5" s="13" t="str">
        <x:v>Keep status explicit</x:v>
      </x:c>
      <x:c r="E5" s="13" t="str">
        <x:v>Flatten all rows into 'proof'</x:v>
      </x:c>
      <x:c r="F5" s="13" t="str">
        <x:v>Prevents circular confirmation</x:v>
      </x:c>
    </x:row>
    <x:row r="6">
      <x:c r="A6" s="13" t="str">
        <x:v>Confidence</x:v>
      </x:c>
      <x:c r="B6" s="13" t="str">
        <x:v>Confidence in the row's stated proposition, not in cultural transmission</x:v>
      </x:c>
      <x:c r="C6" s="13" t="str">
        <x:v>0.00–1.00</x:v>
      </x:c>
      <x:c r="D6" s="13" t="str">
        <x:v>Score only the proposition written in that row</x:v>
      </x:c>
      <x:c r="E6" s="13" t="str">
        <x:v>Treat as probability of common origin</x:v>
      </x:c>
      <x:c r="F6" s="13" t="str">
        <x:v>Different question</x:v>
      </x:c>
    </x:row>
    <x:row r="7">
      <x:c r="A7" s="13" t="str">
        <x:v>Transmission Claim</x:v>
      </x:c>
      <x:c r="B7" s="13" t="str">
        <x:v>Whether direct cultural transmission is established</x:v>
      </x:c>
      <x:c r="C7" s="13" t="str">
        <x:v>No claim / Unproven / Plausible / Established</x:v>
      </x:c>
      <x:c r="D7" s="13" t="str">
        <x:v>Default to Unproven unless evidence exists</x:v>
      </x:c>
      <x:c r="E7" s="13" t="str">
        <x:v>Infer diffusion from resemblance alone</x:v>
      </x:c>
      <x:c r="F7" s="13" t="str">
        <x:v>Protects historical inference</x:v>
      </x:c>
    </x:row>
    <x:row r="8">
      <x:c r="A8" s="13" t="str">
        <x:v>Motif strength</x:v>
      </x:c>
      <x:c r="B8" s="13" t="str">
        <x:v>Corpus support for a morphology</x:v>
      </x:c>
      <x:c r="C8" s="13" t="str">
        <x:v>0=None, 1=Tentative, 2=Moderate, 3=Strong</x:v>
      </x:c>
      <x:c r="D8" s="13" t="str">
        <x:v>Score object-backed morphology</x:v>
      </x:c>
      <x:c r="E8" s="13" t="str">
        <x:v>Score symbolism by shape alone</x:v>
      </x:c>
      <x:c r="F8" s="13" t="str">
        <x:v>Geometry ≠ meaning</x:v>
      </x:c>
    </x:row>
  </x:sheetData>
  <x:mergeCells>
    <x:mergeCell ref="A1:F1"/>
  </x:mergeCells>
  <x:pageMargins left="0.7" right="0.7" top="0.75" bottom="0.75" header="0.3" footer="0.3"/>
</x:worksheet>
</file>